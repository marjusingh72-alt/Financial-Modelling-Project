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u singh\Documents\"/>
    </mc:Choice>
  </mc:AlternateContent>
  <xr:revisionPtr revIDLastSave="0" documentId="8_{ABD9C263-11AA-464E-949F-85204AEC34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ont page" sheetId="30" r:id="rId1"/>
    <sheet name="Contents list" sheetId="31" r:id="rId2"/>
    <sheet name="HISTORICAL(FS)" sheetId="10" r:id="rId3"/>
    <sheet name="common size statement" sheetId="21" r:id="rId4"/>
    <sheet name="Ratio Analysis" sheetId="13" r:id="rId5"/>
    <sheet name="Forecasting " sheetId="14" r:id="rId6"/>
    <sheet name="DCF Modelling(WACC)" sheetId="15" r:id="rId7"/>
    <sheet name="return on market" sheetId="19" r:id="rId8"/>
    <sheet name="pre-tax cost of debt" sheetId="20" r:id="rId9"/>
    <sheet name="Beta Regression" sheetId="32" r:id="rId10"/>
    <sheet name="beta comparison" sheetId="18" r:id="rId11"/>
    <sheet name="IG raw Data" sheetId="23" r:id="rId12"/>
    <sheet name="Intrinsic growth" sheetId="22" r:id="rId13"/>
    <sheet name="PV of FCFF" sheetId="24" r:id="rId14"/>
    <sheet name="Football field analysis" sheetId="27" r:id="rId15"/>
    <sheet name="RV Data" sheetId="26" r:id="rId16"/>
    <sheet name="Relative valuation" sheetId="25" r:id="rId17"/>
    <sheet name="data sheet" sheetId="6" r:id="rId18"/>
  </sheets>
  <definedNames>
    <definedName name="_xlnm._FilterDatabase" localSheetId="9" hidden="1">'Beta Regression'!$B$8:$D$114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5" i="31" l="1"/>
  <c r="A6" i="31"/>
  <c r="A7" i="31" s="1"/>
  <c r="A8" i="31" s="1"/>
  <c r="A9" i="31" s="1"/>
  <c r="A10" i="31" s="1"/>
  <c r="A11" i="31" s="1"/>
  <c r="A12" i="31" s="1"/>
  <c r="A13" i="31" s="1"/>
  <c r="A14" i="31" s="1"/>
  <c r="A15" i="31" s="1"/>
  <c r="C96" i="6"/>
  <c r="D96" i="6"/>
  <c r="E96" i="6"/>
  <c r="E99" i="6" s="1"/>
  <c r="F96" i="6"/>
  <c r="F99" i="6" s="1"/>
  <c r="G96" i="6"/>
  <c r="G99" i="6" s="1"/>
  <c r="H96" i="6"/>
  <c r="H99" i="6" s="1"/>
  <c r="I96" i="6"/>
  <c r="I106" i="6" s="1"/>
  <c r="J96" i="6"/>
  <c r="J99" i="6" s="1"/>
  <c r="K96" i="6"/>
  <c r="B96" i="6"/>
  <c r="B106" i="6" s="1"/>
  <c r="C106" i="6"/>
  <c r="D106" i="6"/>
  <c r="E106" i="6"/>
  <c r="F106" i="6"/>
  <c r="G106" i="6"/>
  <c r="H106" i="6"/>
  <c r="K106" i="6"/>
  <c r="C104" i="6"/>
  <c r="D104" i="6"/>
  <c r="E104" i="6"/>
  <c r="F104" i="6"/>
  <c r="G104" i="6"/>
  <c r="H104" i="6"/>
  <c r="I104" i="6"/>
  <c r="J104" i="6"/>
  <c r="K104" i="6"/>
  <c r="B104" i="6"/>
  <c r="D103" i="6"/>
  <c r="D100" i="6"/>
  <c r="C99" i="6"/>
  <c r="C100" i="6" s="1"/>
  <c r="D99" i="6"/>
  <c r="K99" i="6"/>
  <c r="K103" i="6" s="1"/>
  <c r="K98" i="6"/>
  <c r="C98" i="6"/>
  <c r="D98" i="6"/>
  <c r="E98" i="6"/>
  <c r="F98" i="6"/>
  <c r="G98" i="6"/>
  <c r="H98" i="6"/>
  <c r="I98" i="6"/>
  <c r="J98" i="6"/>
  <c r="B98" i="6"/>
  <c r="C97" i="6"/>
  <c r="D97" i="6"/>
  <c r="E97" i="6"/>
  <c r="F97" i="6"/>
  <c r="G97" i="6"/>
  <c r="H97" i="6"/>
  <c r="I97" i="6"/>
  <c r="J97" i="6"/>
  <c r="K97" i="6"/>
  <c r="B97" i="6"/>
  <c r="B36" i="6"/>
  <c r="L29" i="15"/>
  <c r="K15" i="15"/>
  <c r="J14" i="32"/>
  <c r="J8" i="32"/>
  <c r="M11" i="32"/>
  <c r="J103" i="6" l="1"/>
  <c r="J100" i="6"/>
  <c r="H103" i="6"/>
  <c r="H100" i="6"/>
  <c r="G103" i="6"/>
  <c r="G100" i="6"/>
  <c r="F103" i="6"/>
  <c r="F100" i="6"/>
  <c r="E100" i="6"/>
  <c r="E103" i="6"/>
  <c r="C103" i="6"/>
  <c r="J106" i="6"/>
  <c r="K100" i="6"/>
  <c r="I99" i="6"/>
  <c r="B99" i="6"/>
  <c r="G11" i="32"/>
  <c r="G12" i="32"/>
  <c r="G13" i="32"/>
  <c r="G14" i="32"/>
  <c r="G15" i="32"/>
  <c r="G16" i="32"/>
  <c r="G17" i="32"/>
  <c r="G18" i="32"/>
  <c r="G19" i="32"/>
  <c r="G20" i="32"/>
  <c r="G21" i="32"/>
  <c r="G22" i="32"/>
  <c r="G23" i="32"/>
  <c r="G24" i="32"/>
  <c r="G25" i="32"/>
  <c r="G26" i="32"/>
  <c r="G27" i="32"/>
  <c r="G28" i="32"/>
  <c r="G29" i="32"/>
  <c r="G30" i="32"/>
  <c r="G31" i="32"/>
  <c r="G32" i="32"/>
  <c r="G33" i="32"/>
  <c r="G34" i="32"/>
  <c r="G35" i="32"/>
  <c r="G36" i="32"/>
  <c r="G37" i="32"/>
  <c r="G38" i="32"/>
  <c r="G39" i="32"/>
  <c r="G40" i="32"/>
  <c r="G41" i="32"/>
  <c r="G42" i="32"/>
  <c r="G43" i="32"/>
  <c r="G44" i="32"/>
  <c r="G45" i="32"/>
  <c r="G46" i="32"/>
  <c r="G47" i="32"/>
  <c r="G48" i="32"/>
  <c r="G49" i="32"/>
  <c r="G50" i="32"/>
  <c r="G51" i="32"/>
  <c r="G52" i="32"/>
  <c r="G53" i="32"/>
  <c r="G54" i="32"/>
  <c r="G55" i="32"/>
  <c r="G56" i="32"/>
  <c r="G57" i="32"/>
  <c r="G58" i="32"/>
  <c r="G59" i="32"/>
  <c r="G60" i="32"/>
  <c r="G61" i="32"/>
  <c r="G62" i="32"/>
  <c r="G63" i="32"/>
  <c r="G64" i="32"/>
  <c r="G65" i="32"/>
  <c r="G66" i="32"/>
  <c r="G67" i="32"/>
  <c r="G68" i="32"/>
  <c r="G69" i="32"/>
  <c r="G70" i="32"/>
  <c r="G71" i="32"/>
  <c r="G72" i="32"/>
  <c r="G73" i="32"/>
  <c r="G74" i="32"/>
  <c r="G75" i="32"/>
  <c r="G76" i="32"/>
  <c r="G77" i="32"/>
  <c r="G78" i="32"/>
  <c r="G79" i="32"/>
  <c r="G80" i="32"/>
  <c r="G81" i="32"/>
  <c r="G82" i="32"/>
  <c r="G83" i="32"/>
  <c r="G84" i="32"/>
  <c r="G85" i="32"/>
  <c r="G86" i="32"/>
  <c r="G87" i="32"/>
  <c r="G88" i="32"/>
  <c r="G89" i="32"/>
  <c r="G90" i="32"/>
  <c r="G91" i="32"/>
  <c r="G92" i="32"/>
  <c r="G93" i="32"/>
  <c r="G94" i="32"/>
  <c r="G95" i="32"/>
  <c r="G96" i="32"/>
  <c r="G97" i="32"/>
  <c r="G98" i="32"/>
  <c r="G99" i="32"/>
  <c r="G100" i="32"/>
  <c r="G101" i="32"/>
  <c r="G102" i="32"/>
  <c r="G103" i="32"/>
  <c r="G104" i="32"/>
  <c r="G105" i="32"/>
  <c r="G106" i="32"/>
  <c r="G107" i="32"/>
  <c r="G108" i="32"/>
  <c r="G109" i="32"/>
  <c r="G110" i="32"/>
  <c r="G111" i="32"/>
  <c r="G112" i="32"/>
  <c r="G113" i="32"/>
  <c r="G114" i="32"/>
  <c r="G10" i="32"/>
  <c r="D11" i="32"/>
  <c r="D12" i="32"/>
  <c r="D13" i="32"/>
  <c r="D14" i="32"/>
  <c r="D15" i="32"/>
  <c r="D16" i="32"/>
  <c r="D17" i="32"/>
  <c r="M9" i="32" s="1"/>
  <c r="D18" i="32"/>
  <c r="M8" i="32" s="1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42" i="32"/>
  <c r="D43" i="32"/>
  <c r="D44" i="32"/>
  <c r="D45" i="32"/>
  <c r="D46" i="32"/>
  <c r="D47" i="32"/>
  <c r="D48" i="32"/>
  <c r="D49" i="32"/>
  <c r="D50" i="32"/>
  <c r="D51" i="32"/>
  <c r="D52" i="32"/>
  <c r="D53" i="32"/>
  <c r="D54" i="32"/>
  <c r="D55" i="32"/>
  <c r="D56" i="32"/>
  <c r="D57" i="32"/>
  <c r="D58" i="32"/>
  <c r="D59" i="32"/>
  <c r="D60" i="32"/>
  <c r="D61" i="32"/>
  <c r="D62" i="32"/>
  <c r="D63" i="32"/>
  <c r="D64" i="32"/>
  <c r="D65" i="32"/>
  <c r="D66" i="32"/>
  <c r="D67" i="32"/>
  <c r="D68" i="32"/>
  <c r="D69" i="32"/>
  <c r="D70" i="32"/>
  <c r="D71" i="32"/>
  <c r="D72" i="32"/>
  <c r="D73" i="32"/>
  <c r="D74" i="32"/>
  <c r="D75" i="32"/>
  <c r="D76" i="32"/>
  <c r="D77" i="32"/>
  <c r="D78" i="32"/>
  <c r="D79" i="32"/>
  <c r="D80" i="32"/>
  <c r="D81" i="32"/>
  <c r="D82" i="32"/>
  <c r="D83" i="32"/>
  <c r="D84" i="32"/>
  <c r="D85" i="32"/>
  <c r="D86" i="32"/>
  <c r="D87" i="32"/>
  <c r="D88" i="32"/>
  <c r="D89" i="32"/>
  <c r="D90" i="32"/>
  <c r="D91" i="32"/>
  <c r="D92" i="32"/>
  <c r="D93" i="32"/>
  <c r="D94" i="32"/>
  <c r="D95" i="32"/>
  <c r="D96" i="32"/>
  <c r="D97" i="32"/>
  <c r="D98" i="32"/>
  <c r="D99" i="32"/>
  <c r="D100" i="32"/>
  <c r="D101" i="32"/>
  <c r="D102" i="32"/>
  <c r="D103" i="32"/>
  <c r="D104" i="32"/>
  <c r="D105" i="32"/>
  <c r="D106" i="32"/>
  <c r="D107" i="32"/>
  <c r="D108" i="32"/>
  <c r="D109" i="32"/>
  <c r="D110" i="32"/>
  <c r="D111" i="32"/>
  <c r="D112" i="32"/>
  <c r="D113" i="32"/>
  <c r="D114" i="32"/>
  <c r="D10" i="32"/>
  <c r="N14" i="27"/>
  <c r="P14" i="27"/>
  <c r="P11" i="27"/>
  <c r="N11" i="27"/>
  <c r="P13" i="27"/>
  <c r="N13" i="27"/>
  <c r="P12" i="27"/>
  <c r="N12" i="27"/>
  <c r="D35" i="24"/>
  <c r="B77" i="10"/>
  <c r="D77" i="10"/>
  <c r="E77" i="10"/>
  <c r="F77" i="10"/>
  <c r="G77" i="10"/>
  <c r="H77" i="10"/>
  <c r="I77" i="10"/>
  <c r="J77" i="10"/>
  <c r="K77" i="10"/>
  <c r="L77" i="10"/>
  <c r="C77" i="10"/>
  <c r="C74" i="10"/>
  <c r="D74" i="10"/>
  <c r="E74" i="10"/>
  <c r="F74" i="10"/>
  <c r="G74" i="10"/>
  <c r="H74" i="10"/>
  <c r="I74" i="10"/>
  <c r="J74" i="10"/>
  <c r="K74" i="10"/>
  <c r="L74" i="10"/>
  <c r="C75" i="10"/>
  <c r="D75" i="10"/>
  <c r="E75" i="10"/>
  <c r="F75" i="10"/>
  <c r="G75" i="10"/>
  <c r="H75" i="10"/>
  <c r="I75" i="10"/>
  <c r="J75" i="10"/>
  <c r="K75" i="10"/>
  <c r="L75" i="10"/>
  <c r="D73" i="10"/>
  <c r="E73" i="10"/>
  <c r="F73" i="10"/>
  <c r="G73" i="10"/>
  <c r="H73" i="10"/>
  <c r="I73" i="10"/>
  <c r="J73" i="10"/>
  <c r="K73" i="10"/>
  <c r="L73" i="10"/>
  <c r="C73" i="10"/>
  <c r="B74" i="10"/>
  <c r="B75" i="10"/>
  <c r="B73" i="10"/>
  <c r="P10" i="27"/>
  <c r="N10" i="27"/>
  <c r="L13" i="25"/>
  <c r="L14" i="25"/>
  <c r="L15" i="25"/>
  <c r="L16" i="25"/>
  <c r="L17" i="25"/>
  <c r="L18" i="25"/>
  <c r="L12" i="25"/>
  <c r="K13" i="25"/>
  <c r="K14" i="25"/>
  <c r="K15" i="25"/>
  <c r="K16" i="25"/>
  <c r="K17" i="25"/>
  <c r="K18" i="25"/>
  <c r="K12" i="25"/>
  <c r="J13" i="25"/>
  <c r="J14" i="25"/>
  <c r="J15" i="25"/>
  <c r="J16" i="25"/>
  <c r="J17" i="25"/>
  <c r="J18" i="25"/>
  <c r="J12" i="25"/>
  <c r="G13" i="25"/>
  <c r="O30" i="25" s="1"/>
  <c r="G14" i="25"/>
  <c r="G15" i="25"/>
  <c r="G16" i="25"/>
  <c r="G17" i="25"/>
  <c r="G18" i="25"/>
  <c r="G12" i="25"/>
  <c r="H11" i="26"/>
  <c r="H12" i="26"/>
  <c r="H13" i="26"/>
  <c r="H14" i="26"/>
  <c r="H15" i="26"/>
  <c r="H16" i="26"/>
  <c r="H10" i="26"/>
  <c r="E13" i="25"/>
  <c r="O32" i="25" s="1"/>
  <c r="E14" i="25"/>
  <c r="E15" i="25"/>
  <c r="E16" i="25"/>
  <c r="E17" i="25"/>
  <c r="E18" i="25"/>
  <c r="E12" i="25"/>
  <c r="F12" i="25" s="1"/>
  <c r="D13" i="25"/>
  <c r="D14" i="25"/>
  <c r="D15" i="25"/>
  <c r="D16" i="25"/>
  <c r="D17" i="25"/>
  <c r="D18" i="25"/>
  <c r="D12" i="25"/>
  <c r="R12" i="26"/>
  <c r="J14" i="26"/>
  <c r="J15" i="26"/>
  <c r="J16" i="26"/>
  <c r="J10" i="26"/>
  <c r="F11" i="26"/>
  <c r="J11" i="26" s="1"/>
  <c r="F12" i="26"/>
  <c r="J12" i="26" s="1"/>
  <c r="F13" i="26"/>
  <c r="J13" i="26" s="1"/>
  <c r="F14" i="26"/>
  <c r="F15" i="26"/>
  <c r="F16" i="26"/>
  <c r="F10" i="26"/>
  <c r="Q11" i="26"/>
  <c r="R11" i="26" s="1"/>
  <c r="Q12" i="26"/>
  <c r="Q13" i="26"/>
  <c r="R13" i="26" s="1"/>
  <c r="Q14" i="26"/>
  <c r="R14" i="26" s="1"/>
  <c r="Q15" i="26"/>
  <c r="R15" i="26" s="1"/>
  <c r="Q16" i="26"/>
  <c r="R16" i="26" s="1"/>
  <c r="Q10" i="26"/>
  <c r="R10" i="26" s="1"/>
  <c r="D38" i="24"/>
  <c r="C36" i="24"/>
  <c r="C35" i="24"/>
  <c r="D25" i="24"/>
  <c r="H11" i="24"/>
  <c r="I11" i="24" s="1"/>
  <c r="G7" i="24"/>
  <c r="H7" i="24" s="1"/>
  <c r="I7" i="24" s="1"/>
  <c r="J7" i="24" s="1"/>
  <c r="K7" i="24" s="1"/>
  <c r="G45" i="22"/>
  <c r="H45" i="22"/>
  <c r="I45" i="22"/>
  <c r="J45" i="22"/>
  <c r="K45" i="22"/>
  <c r="H34" i="22"/>
  <c r="I34" i="22"/>
  <c r="J34" i="22"/>
  <c r="K34" i="22"/>
  <c r="G34" i="22"/>
  <c r="G33" i="22"/>
  <c r="G36" i="22" s="1"/>
  <c r="H33" i="22"/>
  <c r="I33" i="22"/>
  <c r="J33" i="22"/>
  <c r="K33" i="22"/>
  <c r="G24" i="22"/>
  <c r="H24" i="22"/>
  <c r="I24" i="22"/>
  <c r="J24" i="22"/>
  <c r="K24" i="22"/>
  <c r="G25" i="22"/>
  <c r="H25" i="22"/>
  <c r="I25" i="22"/>
  <c r="J25" i="22"/>
  <c r="K25" i="22"/>
  <c r="G26" i="22"/>
  <c r="H26" i="22"/>
  <c r="I26" i="22"/>
  <c r="J26" i="22"/>
  <c r="K26" i="22"/>
  <c r="G27" i="22"/>
  <c r="H27" i="22"/>
  <c r="I27" i="22"/>
  <c r="J27" i="22"/>
  <c r="K27" i="22"/>
  <c r="G28" i="22"/>
  <c r="H28" i="22"/>
  <c r="I28" i="22"/>
  <c r="J28" i="22"/>
  <c r="K28" i="22"/>
  <c r="G29" i="22"/>
  <c r="H29" i="22"/>
  <c r="I29" i="22"/>
  <c r="J29" i="22"/>
  <c r="K29" i="22"/>
  <c r="G30" i="22"/>
  <c r="H30" i="22"/>
  <c r="I30" i="22"/>
  <c r="J30" i="22"/>
  <c r="K30" i="22"/>
  <c r="G31" i="22"/>
  <c r="H31" i="22"/>
  <c r="I31" i="22"/>
  <c r="J31" i="22"/>
  <c r="K31" i="22"/>
  <c r="H23" i="22"/>
  <c r="I23" i="22"/>
  <c r="J23" i="22"/>
  <c r="K23" i="22"/>
  <c r="G23" i="22"/>
  <c r="B24" i="22"/>
  <c r="B25" i="22"/>
  <c r="B26" i="22"/>
  <c r="B27" i="22"/>
  <c r="B28" i="22"/>
  <c r="B29" i="22"/>
  <c r="B30" i="22"/>
  <c r="B31" i="22"/>
  <c r="B23" i="22"/>
  <c r="G11" i="22"/>
  <c r="H11" i="22"/>
  <c r="I11" i="22"/>
  <c r="J11" i="22"/>
  <c r="K11" i="22"/>
  <c r="H10" i="22"/>
  <c r="I10" i="22"/>
  <c r="J10" i="22"/>
  <c r="K10" i="22"/>
  <c r="B11" i="22"/>
  <c r="G16" i="22"/>
  <c r="H16" i="22"/>
  <c r="I16" i="22"/>
  <c r="J16" i="22"/>
  <c r="K16" i="22"/>
  <c r="G17" i="22"/>
  <c r="H17" i="22"/>
  <c r="I17" i="22"/>
  <c r="J17" i="22"/>
  <c r="K17" i="22"/>
  <c r="H15" i="22"/>
  <c r="I15" i="22"/>
  <c r="J15" i="22"/>
  <c r="K15" i="22"/>
  <c r="G15" i="22"/>
  <c r="G8" i="22"/>
  <c r="H8" i="22"/>
  <c r="I8" i="22"/>
  <c r="J8" i="22"/>
  <c r="K8" i="22"/>
  <c r="G9" i="22"/>
  <c r="H9" i="22"/>
  <c r="I9" i="22"/>
  <c r="J9" i="22"/>
  <c r="K9" i="22"/>
  <c r="G10" i="22"/>
  <c r="H7" i="22"/>
  <c r="I7" i="22"/>
  <c r="J7" i="22"/>
  <c r="K7" i="22"/>
  <c r="G7" i="22"/>
  <c r="B8" i="22"/>
  <c r="B9" i="22"/>
  <c r="B10" i="22"/>
  <c r="B7" i="22"/>
  <c r="D34" i="23"/>
  <c r="E34" i="23"/>
  <c r="F34" i="23"/>
  <c r="G34" i="23"/>
  <c r="H34" i="23"/>
  <c r="I34" i="23"/>
  <c r="J34" i="23"/>
  <c r="K34" i="23"/>
  <c r="L34" i="23"/>
  <c r="C34" i="23"/>
  <c r="D40" i="21"/>
  <c r="E40" i="21"/>
  <c r="F40" i="21"/>
  <c r="G40" i="21"/>
  <c r="H40" i="21"/>
  <c r="I40" i="21"/>
  <c r="J40" i="21"/>
  <c r="K40" i="21"/>
  <c r="L40" i="21"/>
  <c r="M40" i="21"/>
  <c r="D41" i="21"/>
  <c r="E41" i="21"/>
  <c r="F41" i="21"/>
  <c r="G41" i="21"/>
  <c r="H41" i="21"/>
  <c r="I41" i="21"/>
  <c r="J41" i="21"/>
  <c r="K41" i="21"/>
  <c r="L41" i="21"/>
  <c r="M41" i="21"/>
  <c r="E39" i="21"/>
  <c r="F39" i="21"/>
  <c r="G39" i="21"/>
  <c r="H39" i="21"/>
  <c r="I39" i="21"/>
  <c r="J39" i="21"/>
  <c r="K39" i="21"/>
  <c r="L39" i="21"/>
  <c r="M39" i="21"/>
  <c r="E38" i="21"/>
  <c r="F38" i="21"/>
  <c r="G38" i="21"/>
  <c r="H38" i="21"/>
  <c r="I38" i="21"/>
  <c r="J38" i="21"/>
  <c r="K38" i="21"/>
  <c r="L38" i="21"/>
  <c r="M38" i="21"/>
  <c r="D39" i="21"/>
  <c r="D38" i="21"/>
  <c r="C73" i="6"/>
  <c r="D73" i="6"/>
  <c r="E73" i="6"/>
  <c r="F73" i="6"/>
  <c r="G73" i="6"/>
  <c r="H73" i="6"/>
  <c r="I73" i="6"/>
  <c r="J73" i="6"/>
  <c r="K73" i="6"/>
  <c r="B73" i="6"/>
  <c r="C74" i="6"/>
  <c r="D74" i="6"/>
  <c r="E74" i="6"/>
  <c r="F74" i="6"/>
  <c r="G74" i="6"/>
  <c r="H74" i="6"/>
  <c r="I74" i="6"/>
  <c r="J74" i="6"/>
  <c r="K74" i="6"/>
  <c r="B74" i="6"/>
  <c r="D36" i="21"/>
  <c r="E36" i="21"/>
  <c r="F36" i="21"/>
  <c r="G36" i="21"/>
  <c r="H36" i="21"/>
  <c r="I36" i="21"/>
  <c r="J36" i="21"/>
  <c r="K36" i="21"/>
  <c r="L36" i="21"/>
  <c r="M36" i="21"/>
  <c r="D37" i="21"/>
  <c r="E37" i="21"/>
  <c r="F37" i="21"/>
  <c r="G37" i="21"/>
  <c r="H37" i="21"/>
  <c r="I37" i="21"/>
  <c r="J37" i="21"/>
  <c r="K37" i="21"/>
  <c r="L37" i="21"/>
  <c r="M37" i="21"/>
  <c r="E35" i="21"/>
  <c r="F35" i="21"/>
  <c r="G35" i="21"/>
  <c r="H35" i="21"/>
  <c r="I35" i="21"/>
  <c r="J35" i="21"/>
  <c r="K35" i="21"/>
  <c r="L35" i="21"/>
  <c r="M35" i="21"/>
  <c r="D35" i="21"/>
  <c r="E34" i="21"/>
  <c r="F34" i="21"/>
  <c r="G34" i="21"/>
  <c r="H34" i="21"/>
  <c r="I34" i="21"/>
  <c r="J34" i="21"/>
  <c r="K34" i="21"/>
  <c r="L34" i="21"/>
  <c r="M34" i="21"/>
  <c r="D34" i="21"/>
  <c r="D30" i="21"/>
  <c r="E30" i="21"/>
  <c r="F30" i="21"/>
  <c r="G30" i="21"/>
  <c r="H30" i="21"/>
  <c r="I30" i="21"/>
  <c r="J30" i="21"/>
  <c r="K30" i="21"/>
  <c r="L30" i="21"/>
  <c r="M30" i="21"/>
  <c r="D31" i="21"/>
  <c r="E31" i="21"/>
  <c r="F31" i="21"/>
  <c r="G31" i="21"/>
  <c r="H31" i="21"/>
  <c r="I31" i="21"/>
  <c r="J31" i="21"/>
  <c r="K31" i="21"/>
  <c r="L31" i="21"/>
  <c r="M31" i="21"/>
  <c r="D32" i="21"/>
  <c r="E32" i="21"/>
  <c r="F32" i="21"/>
  <c r="G32" i="21"/>
  <c r="H32" i="21"/>
  <c r="I32" i="21"/>
  <c r="J32" i="21"/>
  <c r="K32" i="21"/>
  <c r="L32" i="21"/>
  <c r="M32" i="21"/>
  <c r="E29" i="21"/>
  <c r="F29" i="21"/>
  <c r="G29" i="21"/>
  <c r="H29" i="21"/>
  <c r="I29" i="21"/>
  <c r="J29" i="21"/>
  <c r="K29" i="21"/>
  <c r="L29" i="21"/>
  <c r="M29" i="21"/>
  <c r="D29" i="21"/>
  <c r="E28" i="21"/>
  <c r="F28" i="21"/>
  <c r="G28" i="21"/>
  <c r="H28" i="21"/>
  <c r="I28" i="21"/>
  <c r="J28" i="21"/>
  <c r="K28" i="21"/>
  <c r="L28" i="21"/>
  <c r="M28" i="21"/>
  <c r="D28" i="21"/>
  <c r="D8" i="21"/>
  <c r="E8" i="21"/>
  <c r="F8" i="21"/>
  <c r="G8" i="21"/>
  <c r="H8" i="21"/>
  <c r="I8" i="21"/>
  <c r="J8" i="21"/>
  <c r="K8" i="21"/>
  <c r="L8" i="21"/>
  <c r="M8" i="21"/>
  <c r="D9" i="21"/>
  <c r="E9" i="21"/>
  <c r="F9" i="21"/>
  <c r="G9" i="21"/>
  <c r="H9" i="21"/>
  <c r="I9" i="21"/>
  <c r="J9" i="21"/>
  <c r="K9" i="21"/>
  <c r="L9" i="21"/>
  <c r="M9" i="21"/>
  <c r="D10" i="21"/>
  <c r="E10" i="21"/>
  <c r="F10" i="21"/>
  <c r="G10" i="21"/>
  <c r="H10" i="21"/>
  <c r="I10" i="21"/>
  <c r="J10" i="21"/>
  <c r="K10" i="21"/>
  <c r="L10" i="21"/>
  <c r="M10" i="21"/>
  <c r="D11" i="21"/>
  <c r="E11" i="21"/>
  <c r="F11" i="21"/>
  <c r="G11" i="21"/>
  <c r="H11" i="21"/>
  <c r="I11" i="21"/>
  <c r="J11" i="21"/>
  <c r="K11" i="21"/>
  <c r="L11" i="21"/>
  <c r="M11" i="21"/>
  <c r="D12" i="21"/>
  <c r="E12" i="21"/>
  <c r="F12" i="21"/>
  <c r="G12" i="21"/>
  <c r="H12" i="21"/>
  <c r="I12" i="21"/>
  <c r="J12" i="21"/>
  <c r="K12" i="21"/>
  <c r="L12" i="21"/>
  <c r="M12" i="21"/>
  <c r="D13" i="21"/>
  <c r="E13" i="21"/>
  <c r="F13" i="21"/>
  <c r="G13" i="21"/>
  <c r="H13" i="21"/>
  <c r="I13" i="21"/>
  <c r="J13" i="21"/>
  <c r="K13" i="21"/>
  <c r="L13" i="21"/>
  <c r="M13" i="21"/>
  <c r="D14" i="21"/>
  <c r="E14" i="21"/>
  <c r="F14" i="21"/>
  <c r="G14" i="21"/>
  <c r="H14" i="21"/>
  <c r="I14" i="21"/>
  <c r="J14" i="21"/>
  <c r="K14" i="21"/>
  <c r="L14" i="21"/>
  <c r="M14" i="21"/>
  <c r="D15" i="21"/>
  <c r="E15" i="21"/>
  <c r="F15" i="21"/>
  <c r="G15" i="21"/>
  <c r="H15" i="21"/>
  <c r="I15" i="21"/>
  <c r="J15" i="21"/>
  <c r="K15" i="21"/>
  <c r="L15" i="21"/>
  <c r="M15" i="21"/>
  <c r="D16" i="21"/>
  <c r="E16" i="21"/>
  <c r="F16" i="21"/>
  <c r="G16" i="21"/>
  <c r="H16" i="21"/>
  <c r="I16" i="21"/>
  <c r="J16" i="21"/>
  <c r="K16" i="21"/>
  <c r="L16" i="21"/>
  <c r="M16" i="21"/>
  <c r="D17" i="21"/>
  <c r="E17" i="21"/>
  <c r="F17" i="21"/>
  <c r="G17" i="21"/>
  <c r="H17" i="21"/>
  <c r="I17" i="21"/>
  <c r="J17" i="21"/>
  <c r="K17" i="21"/>
  <c r="L17" i="21"/>
  <c r="M17" i="21"/>
  <c r="D18" i="21"/>
  <c r="E18" i="21"/>
  <c r="F18" i="21"/>
  <c r="G18" i="21"/>
  <c r="H18" i="21"/>
  <c r="I18" i="21"/>
  <c r="J18" i="21"/>
  <c r="K18" i="21"/>
  <c r="L18" i="21"/>
  <c r="M18" i="21"/>
  <c r="D19" i="21"/>
  <c r="E19" i="21"/>
  <c r="F19" i="21"/>
  <c r="G19" i="21"/>
  <c r="H19" i="21"/>
  <c r="I19" i="21"/>
  <c r="J19" i="21"/>
  <c r="K19" i="21"/>
  <c r="L19" i="21"/>
  <c r="M19" i="21"/>
  <c r="D20" i="21"/>
  <c r="E20" i="21"/>
  <c r="F20" i="21"/>
  <c r="G20" i="21"/>
  <c r="H20" i="21"/>
  <c r="I20" i="21"/>
  <c r="J20" i="21"/>
  <c r="K20" i="21"/>
  <c r="L20" i="21"/>
  <c r="M20" i="21"/>
  <c r="D21" i="21"/>
  <c r="E21" i="21"/>
  <c r="F21" i="21"/>
  <c r="G21" i="21"/>
  <c r="H21" i="21"/>
  <c r="I21" i="21"/>
  <c r="J21" i="21"/>
  <c r="K21" i="21"/>
  <c r="L21" i="21"/>
  <c r="M21" i="21"/>
  <c r="E7" i="21"/>
  <c r="F7" i="21"/>
  <c r="G7" i="21"/>
  <c r="H7" i="21"/>
  <c r="I7" i="21"/>
  <c r="J7" i="21"/>
  <c r="K7" i="21"/>
  <c r="L7" i="21"/>
  <c r="M7" i="21"/>
  <c r="D7" i="21"/>
  <c r="C32" i="6"/>
  <c r="E22" i="21" s="1"/>
  <c r="D32" i="6"/>
  <c r="F22" i="21" s="1"/>
  <c r="E32" i="6"/>
  <c r="G22" i="21" s="1"/>
  <c r="F32" i="6"/>
  <c r="H22" i="21" s="1"/>
  <c r="G32" i="6"/>
  <c r="I22" i="21" s="1"/>
  <c r="H32" i="6"/>
  <c r="J22" i="21" s="1"/>
  <c r="I32" i="6"/>
  <c r="K22" i="21" s="1"/>
  <c r="J32" i="6"/>
  <c r="L22" i="21" s="1"/>
  <c r="K32" i="6"/>
  <c r="M22" i="21" s="1"/>
  <c r="B32" i="6"/>
  <c r="D22" i="21" s="1"/>
  <c r="C37" i="15"/>
  <c r="C36" i="15"/>
  <c r="I15" i="15"/>
  <c r="L15" i="15" s="1"/>
  <c r="I16" i="15"/>
  <c r="L16" i="15" s="1"/>
  <c r="I17" i="15"/>
  <c r="L17" i="15" s="1"/>
  <c r="I18" i="15"/>
  <c r="L18" i="15" s="1"/>
  <c r="I14" i="15"/>
  <c r="E8" i="20"/>
  <c r="E26" i="15"/>
  <c r="L28" i="15"/>
  <c r="G8" i="19"/>
  <c r="G6" i="19"/>
  <c r="E27" i="15"/>
  <c r="J15" i="15"/>
  <c r="J16" i="15"/>
  <c r="J17" i="15"/>
  <c r="J18" i="15"/>
  <c r="J14" i="15"/>
  <c r="T10" i="14"/>
  <c r="T11" i="14"/>
  <c r="T12" i="14"/>
  <c r="T13" i="14"/>
  <c r="T14" i="14"/>
  <c r="T15" i="14"/>
  <c r="T16" i="14"/>
  <c r="T17" i="14"/>
  <c r="T9" i="14"/>
  <c r="R9" i="14"/>
  <c r="R10" i="14" s="1"/>
  <c r="R11" i="14" s="1"/>
  <c r="R12" i="14" s="1"/>
  <c r="R13" i="14" s="1"/>
  <c r="R14" i="14" s="1"/>
  <c r="R15" i="14" s="1"/>
  <c r="R16" i="14" s="1"/>
  <c r="R17" i="14" s="1"/>
  <c r="R18" i="14" s="1"/>
  <c r="R19" i="14" s="1"/>
  <c r="R20" i="14" s="1"/>
  <c r="R21" i="14" s="1"/>
  <c r="R22" i="14" s="1"/>
  <c r="Q9" i="14"/>
  <c r="Q10" i="14" s="1"/>
  <c r="Q11" i="14" s="1"/>
  <c r="Q12" i="14" s="1"/>
  <c r="Q13" i="14" s="1"/>
  <c r="Q14" i="14" s="1"/>
  <c r="Q15" i="14" s="1"/>
  <c r="Q16" i="14" s="1"/>
  <c r="Q17" i="14" s="1"/>
  <c r="Q18" i="14" s="1"/>
  <c r="L37" i="15"/>
  <c r="K21" i="15"/>
  <c r="K20" i="15"/>
  <c r="H21" i="15"/>
  <c r="H20" i="15"/>
  <c r="N18" i="14"/>
  <c r="O18" i="14" s="1"/>
  <c r="O10" i="14"/>
  <c r="O11" i="14"/>
  <c r="O12" i="14"/>
  <c r="O13" i="14"/>
  <c r="O14" i="14"/>
  <c r="O15" i="14"/>
  <c r="O16" i="14"/>
  <c r="O17" i="14"/>
  <c r="O9" i="14"/>
  <c r="J10" i="14"/>
  <c r="J11" i="14"/>
  <c r="J12" i="14"/>
  <c r="J13" i="14"/>
  <c r="J14" i="14"/>
  <c r="J15" i="14"/>
  <c r="J16" i="14"/>
  <c r="J17" i="14"/>
  <c r="J9" i="14"/>
  <c r="H9" i="14"/>
  <c r="H10" i="14" s="1"/>
  <c r="H11" i="14" s="1"/>
  <c r="H12" i="14" s="1"/>
  <c r="H13" i="14" s="1"/>
  <c r="H14" i="14" s="1"/>
  <c r="H15" i="14" s="1"/>
  <c r="H16" i="14" s="1"/>
  <c r="H17" i="14" s="1"/>
  <c r="H18" i="14" s="1"/>
  <c r="H19" i="14" s="1"/>
  <c r="H20" i="14" s="1"/>
  <c r="H21" i="14" s="1"/>
  <c r="H22" i="14" s="1"/>
  <c r="G9" i="14"/>
  <c r="G10" i="14" s="1"/>
  <c r="G11" i="14" s="1"/>
  <c r="G12" i="14" s="1"/>
  <c r="G13" i="14" s="1"/>
  <c r="G14" i="14" s="1"/>
  <c r="G15" i="14" s="1"/>
  <c r="G16" i="14" s="1"/>
  <c r="G17" i="14" s="1"/>
  <c r="G18" i="14" s="1"/>
  <c r="G19" i="14" s="1"/>
  <c r="G20" i="14" s="1"/>
  <c r="G21" i="14" s="1"/>
  <c r="G22" i="14" s="1"/>
  <c r="Q19" i="14" l="1"/>
  <c r="S18" i="14"/>
  <c r="T18" i="14" s="1"/>
  <c r="I18" i="14"/>
  <c r="J18" i="14" s="1"/>
  <c r="I103" i="6"/>
  <c r="I100" i="6"/>
  <c r="B103" i="6"/>
  <c r="B100" i="6"/>
  <c r="H12" i="25"/>
  <c r="F13" i="25"/>
  <c r="P13" i="25" s="1"/>
  <c r="F15" i="25"/>
  <c r="P15" i="25" s="1"/>
  <c r="F17" i="25"/>
  <c r="O12" i="25"/>
  <c r="N12" i="25"/>
  <c r="P12" i="25"/>
  <c r="N32" i="25"/>
  <c r="F18" i="25"/>
  <c r="P32" i="25"/>
  <c r="N30" i="25"/>
  <c r="F16" i="25"/>
  <c r="H13" i="25"/>
  <c r="P30" i="25"/>
  <c r="F14" i="25"/>
  <c r="J11" i="24"/>
  <c r="K18" i="22"/>
  <c r="I36" i="22"/>
  <c r="J36" i="22"/>
  <c r="G12" i="22"/>
  <c r="K12" i="22"/>
  <c r="G18" i="22"/>
  <c r="J12" i="22"/>
  <c r="J18" i="22"/>
  <c r="J21" i="22" s="1"/>
  <c r="J20" i="22" s="1"/>
  <c r="H36" i="22"/>
  <c r="I12" i="22"/>
  <c r="H18" i="22"/>
  <c r="H12" i="22"/>
  <c r="H21" i="22" s="1"/>
  <c r="H20" i="22" s="1"/>
  <c r="K36" i="22"/>
  <c r="I18" i="22"/>
  <c r="E28" i="15"/>
  <c r="L46" i="15" s="1"/>
  <c r="C38" i="15"/>
  <c r="D38" i="15" s="1"/>
  <c r="N19" i="14"/>
  <c r="N20" i="14" s="1"/>
  <c r="O20" i="14" s="1"/>
  <c r="J21" i="15"/>
  <c r="I20" i="15"/>
  <c r="L14" i="15"/>
  <c r="J20" i="15"/>
  <c r="I21" i="15"/>
  <c r="Q20" i="14" l="1"/>
  <c r="S19" i="14"/>
  <c r="T19" i="14" s="1"/>
  <c r="N21" i="14"/>
  <c r="I19" i="14"/>
  <c r="J19" i="14" s="1"/>
  <c r="H15" i="25"/>
  <c r="P17" i="25"/>
  <c r="H17" i="25"/>
  <c r="N15" i="25"/>
  <c r="O15" i="25"/>
  <c r="P14" i="25"/>
  <c r="P22" i="25" s="1"/>
  <c r="H14" i="25"/>
  <c r="H18" i="25"/>
  <c r="P18" i="25"/>
  <c r="O13" i="25"/>
  <c r="N13" i="25"/>
  <c r="P16" i="25"/>
  <c r="H16" i="25"/>
  <c r="K11" i="24"/>
  <c r="K21" i="22"/>
  <c r="K20" i="22" s="1"/>
  <c r="K46" i="22" s="1"/>
  <c r="K52" i="22" s="1"/>
  <c r="J38" i="22"/>
  <c r="I21" i="22"/>
  <c r="I20" i="22" s="1"/>
  <c r="G21" i="22"/>
  <c r="G20" i="22" s="1"/>
  <c r="G38" i="22" s="1"/>
  <c r="K38" i="22"/>
  <c r="H38" i="22"/>
  <c r="E36" i="15"/>
  <c r="L47" i="15" s="1"/>
  <c r="D37" i="15"/>
  <c r="D36" i="15"/>
  <c r="O19" i="14"/>
  <c r="L20" i="15"/>
  <c r="L21" i="15"/>
  <c r="L35" i="15" s="1"/>
  <c r="N22" i="14"/>
  <c r="O22" i="14" s="1"/>
  <c r="O21" i="14"/>
  <c r="I20" i="14" l="1"/>
  <c r="I21" i="14" s="1"/>
  <c r="J20" i="14"/>
  <c r="Q21" i="14"/>
  <c r="S20" i="14"/>
  <c r="T20" i="14" s="1"/>
  <c r="P21" i="25"/>
  <c r="N17" i="25"/>
  <c r="O17" i="25"/>
  <c r="N18" i="25"/>
  <c r="O18" i="25"/>
  <c r="O23" i="25"/>
  <c r="O20" i="25"/>
  <c r="N14" i="25"/>
  <c r="O14" i="25"/>
  <c r="N16" i="25"/>
  <c r="O16" i="25"/>
  <c r="P20" i="25"/>
  <c r="P25" i="25"/>
  <c r="P24" i="25"/>
  <c r="P23" i="25"/>
  <c r="P31" i="25" s="1"/>
  <c r="I38" i="22"/>
  <c r="I46" i="22"/>
  <c r="I52" i="22" s="1"/>
  <c r="J46" i="22"/>
  <c r="J52" i="22" s="1"/>
  <c r="H46" i="22"/>
  <c r="H52" i="22" s="1"/>
  <c r="D40" i="15"/>
  <c r="E37" i="15"/>
  <c r="L44" i="15" s="1"/>
  <c r="I22" i="14"/>
  <c r="J22" i="14" s="1"/>
  <c r="J21" i="14"/>
  <c r="E10" i="14"/>
  <c r="E11" i="14"/>
  <c r="E12" i="14"/>
  <c r="E13" i="14"/>
  <c r="E14" i="14"/>
  <c r="E15" i="14"/>
  <c r="E16" i="14"/>
  <c r="E17" i="14"/>
  <c r="E9" i="14"/>
  <c r="C9" i="14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B9" i="14"/>
  <c r="B10" i="14" s="1"/>
  <c r="B11" i="14" s="1"/>
  <c r="B12" i="14" s="1"/>
  <c r="B13" i="14" s="1"/>
  <c r="B14" i="14" s="1"/>
  <c r="B15" i="14" s="1"/>
  <c r="B16" i="14" s="1"/>
  <c r="B17" i="14" s="1"/>
  <c r="B18" i="14" s="1"/>
  <c r="D18" i="14" s="1"/>
  <c r="E18" i="14" s="1"/>
  <c r="O11" i="13"/>
  <c r="O12" i="13"/>
  <c r="O13" i="13"/>
  <c r="O14" i="13"/>
  <c r="C5" i="13"/>
  <c r="D59" i="10"/>
  <c r="E59" i="10"/>
  <c r="F59" i="10"/>
  <c r="G59" i="10"/>
  <c r="H59" i="10"/>
  <c r="I59" i="10"/>
  <c r="J59" i="10"/>
  <c r="K59" i="10"/>
  <c r="L59" i="10"/>
  <c r="C59" i="10"/>
  <c r="D62" i="10"/>
  <c r="E62" i="10"/>
  <c r="F62" i="10"/>
  <c r="G62" i="10"/>
  <c r="H62" i="10"/>
  <c r="I62" i="10"/>
  <c r="J62" i="10"/>
  <c r="K62" i="10"/>
  <c r="L62" i="10"/>
  <c r="D63" i="10"/>
  <c r="E63" i="10"/>
  <c r="F63" i="10"/>
  <c r="G63" i="10"/>
  <c r="H63" i="10"/>
  <c r="I63" i="10"/>
  <c r="J63" i="10"/>
  <c r="K63" i="10"/>
  <c r="L63" i="10"/>
  <c r="D64" i="10"/>
  <c r="E64" i="10"/>
  <c r="F64" i="10"/>
  <c r="G64" i="10"/>
  <c r="H64" i="10"/>
  <c r="I64" i="10"/>
  <c r="J64" i="10"/>
  <c r="K64" i="10"/>
  <c r="L64" i="10"/>
  <c r="D58" i="10"/>
  <c r="E58" i="10"/>
  <c r="F58" i="10"/>
  <c r="G58" i="10"/>
  <c r="H58" i="10"/>
  <c r="I58" i="10"/>
  <c r="J58" i="10"/>
  <c r="K58" i="10"/>
  <c r="L58" i="10"/>
  <c r="D57" i="10"/>
  <c r="E57" i="10"/>
  <c r="F57" i="10"/>
  <c r="G57" i="10"/>
  <c r="H57" i="10"/>
  <c r="I57" i="10"/>
  <c r="J57" i="10"/>
  <c r="K57" i="10"/>
  <c r="L57" i="10"/>
  <c r="D56" i="10"/>
  <c r="E56" i="10"/>
  <c r="F56" i="10"/>
  <c r="G56" i="10"/>
  <c r="H56" i="10"/>
  <c r="I56" i="10"/>
  <c r="J56" i="10"/>
  <c r="K56" i="10"/>
  <c r="L56" i="10"/>
  <c r="C64" i="10"/>
  <c r="C63" i="10"/>
  <c r="C62" i="10"/>
  <c r="C58" i="10"/>
  <c r="C57" i="10"/>
  <c r="C56" i="10"/>
  <c r="D54" i="10"/>
  <c r="E54" i="10"/>
  <c r="F54" i="10"/>
  <c r="G54" i="10"/>
  <c r="H54" i="10"/>
  <c r="I54" i="10"/>
  <c r="J54" i="10"/>
  <c r="K54" i="10"/>
  <c r="L54" i="10"/>
  <c r="C54" i="10"/>
  <c r="D53" i="10"/>
  <c r="E53" i="10"/>
  <c r="F53" i="10"/>
  <c r="G53" i="10"/>
  <c r="H53" i="10"/>
  <c r="I53" i="10"/>
  <c r="J53" i="10"/>
  <c r="K53" i="10"/>
  <c r="L53" i="10"/>
  <c r="D52" i="10"/>
  <c r="E52" i="10"/>
  <c r="F52" i="10"/>
  <c r="G52" i="10"/>
  <c r="H52" i="10"/>
  <c r="I52" i="10"/>
  <c r="J52" i="10"/>
  <c r="K52" i="10"/>
  <c r="L52" i="10"/>
  <c r="C53" i="10"/>
  <c r="C52" i="10"/>
  <c r="D51" i="10"/>
  <c r="E51" i="10"/>
  <c r="F51" i="10"/>
  <c r="G51" i="10"/>
  <c r="H51" i="10"/>
  <c r="I51" i="10"/>
  <c r="J51" i="10"/>
  <c r="K51" i="10"/>
  <c r="L51" i="10"/>
  <c r="C51" i="10"/>
  <c r="D50" i="10"/>
  <c r="E50" i="10"/>
  <c r="F50" i="10"/>
  <c r="G50" i="10"/>
  <c r="H50" i="10"/>
  <c r="I50" i="10"/>
  <c r="J50" i="10"/>
  <c r="K50" i="10"/>
  <c r="L50" i="10"/>
  <c r="C50" i="10"/>
  <c r="M37" i="10"/>
  <c r="M42" i="10" s="1"/>
  <c r="D37" i="10"/>
  <c r="D42" i="10" s="1"/>
  <c r="E37" i="10"/>
  <c r="E42" i="10" s="1"/>
  <c r="F37" i="10"/>
  <c r="F42" i="10" s="1"/>
  <c r="G37" i="10"/>
  <c r="G42" i="10" s="1"/>
  <c r="H37" i="10"/>
  <c r="H42" i="10" s="1"/>
  <c r="I37" i="10"/>
  <c r="I42" i="10" s="1"/>
  <c r="J37" i="10"/>
  <c r="J42" i="10" s="1"/>
  <c r="K37" i="10"/>
  <c r="K42" i="10" s="1"/>
  <c r="L37" i="10"/>
  <c r="L42" i="10" s="1"/>
  <c r="C37" i="10"/>
  <c r="C42" i="10" s="1"/>
  <c r="M31" i="10"/>
  <c r="D31" i="10"/>
  <c r="E31" i="10"/>
  <c r="F31" i="10"/>
  <c r="G31" i="10"/>
  <c r="H31" i="10"/>
  <c r="I31" i="10"/>
  <c r="J31" i="10"/>
  <c r="K31" i="10"/>
  <c r="L31" i="10"/>
  <c r="C31" i="10"/>
  <c r="M25" i="10"/>
  <c r="D25" i="10"/>
  <c r="E25" i="10"/>
  <c r="F25" i="10"/>
  <c r="G25" i="10"/>
  <c r="H25" i="10"/>
  <c r="I25" i="10"/>
  <c r="J25" i="10"/>
  <c r="K25" i="10"/>
  <c r="L25" i="10"/>
  <c r="C25" i="10"/>
  <c r="D22" i="10"/>
  <c r="E22" i="10"/>
  <c r="F22" i="10"/>
  <c r="G22" i="10"/>
  <c r="H22" i="10"/>
  <c r="I22" i="10"/>
  <c r="J22" i="10"/>
  <c r="K22" i="10"/>
  <c r="L22" i="10"/>
  <c r="M22" i="10"/>
  <c r="C22" i="10"/>
  <c r="D16" i="10"/>
  <c r="E16" i="10"/>
  <c r="F16" i="10"/>
  <c r="G16" i="10"/>
  <c r="H16" i="10"/>
  <c r="I16" i="10"/>
  <c r="J16" i="10"/>
  <c r="K16" i="10"/>
  <c r="L16" i="10"/>
  <c r="C16" i="10"/>
  <c r="M10" i="10"/>
  <c r="D10" i="10"/>
  <c r="E10" i="10"/>
  <c r="F10" i="10"/>
  <c r="G10" i="10"/>
  <c r="H10" i="10"/>
  <c r="I10" i="10"/>
  <c r="J10" i="10"/>
  <c r="K10" i="10"/>
  <c r="L10" i="10"/>
  <c r="C10" i="10"/>
  <c r="M7" i="10"/>
  <c r="M17" i="10" s="1"/>
  <c r="D7" i="10"/>
  <c r="E7" i="10"/>
  <c r="F7" i="10"/>
  <c r="G7" i="10"/>
  <c r="G38" i="13" s="1"/>
  <c r="H7" i="10"/>
  <c r="H27" i="13" s="1"/>
  <c r="H33" i="13" s="1"/>
  <c r="I7" i="10"/>
  <c r="I27" i="13" s="1"/>
  <c r="I33" i="13" s="1"/>
  <c r="J7" i="10"/>
  <c r="J27" i="13" s="1"/>
  <c r="J33" i="13" s="1"/>
  <c r="K7" i="10"/>
  <c r="L7" i="10"/>
  <c r="C7" i="10"/>
  <c r="D3" i="10"/>
  <c r="E3" i="10"/>
  <c r="F3" i="10"/>
  <c r="G3" i="10"/>
  <c r="H3" i="10"/>
  <c r="I3" i="10"/>
  <c r="J3" i="10"/>
  <c r="K3" i="10"/>
  <c r="L3" i="10"/>
  <c r="C3" i="10"/>
  <c r="B101" i="6"/>
  <c r="C51" i="6"/>
  <c r="D51" i="6"/>
  <c r="E51" i="6"/>
  <c r="F51" i="6"/>
  <c r="G51" i="6"/>
  <c r="H51" i="6"/>
  <c r="I51" i="6"/>
  <c r="J51" i="6"/>
  <c r="K51" i="6"/>
  <c r="B51" i="6"/>
  <c r="Q22" i="14" l="1"/>
  <c r="S21" i="14"/>
  <c r="L30" i="13"/>
  <c r="D30" i="13"/>
  <c r="E9" i="13"/>
  <c r="H40" i="13"/>
  <c r="O21" i="25"/>
  <c r="N23" i="25"/>
  <c r="O22" i="25"/>
  <c r="N20" i="25"/>
  <c r="N25" i="25" s="1"/>
  <c r="N24" i="25"/>
  <c r="N22" i="25"/>
  <c r="P29" i="25"/>
  <c r="P34" i="25"/>
  <c r="P37" i="25" s="1"/>
  <c r="N21" i="25"/>
  <c r="O25" i="25"/>
  <c r="O24" i="25"/>
  <c r="C38" i="13"/>
  <c r="C40" i="13"/>
  <c r="F40" i="13"/>
  <c r="E40" i="13"/>
  <c r="L40" i="13"/>
  <c r="D40" i="13"/>
  <c r="K40" i="13"/>
  <c r="J40" i="13"/>
  <c r="G40" i="13"/>
  <c r="I40" i="13"/>
  <c r="H9" i="13"/>
  <c r="E30" i="13"/>
  <c r="L9" i="13"/>
  <c r="J9" i="13"/>
  <c r="G9" i="13"/>
  <c r="F9" i="13"/>
  <c r="F29" i="13"/>
  <c r="F35" i="13" s="1"/>
  <c r="K31" i="13"/>
  <c r="D9" i="13"/>
  <c r="K9" i="13"/>
  <c r="M19" i="10"/>
  <c r="M20" i="10" s="1"/>
  <c r="I9" i="13"/>
  <c r="C29" i="13"/>
  <c r="C35" i="13" s="1"/>
  <c r="E29" i="13"/>
  <c r="E35" i="13" s="1"/>
  <c r="F28" i="13"/>
  <c r="F34" i="13" s="1"/>
  <c r="G27" i="13"/>
  <c r="G33" i="13" s="1"/>
  <c r="J31" i="13"/>
  <c r="K30" i="13"/>
  <c r="F38" i="13"/>
  <c r="L29" i="13"/>
  <c r="L35" i="13" s="1"/>
  <c r="D29" i="13"/>
  <c r="D35" i="13" s="1"/>
  <c r="E28" i="13"/>
  <c r="E34" i="13" s="1"/>
  <c r="F27" i="13"/>
  <c r="F33" i="13" s="1"/>
  <c r="F36" i="13" s="1"/>
  <c r="I31" i="13"/>
  <c r="J30" i="13"/>
  <c r="E38" i="13"/>
  <c r="K29" i="13"/>
  <c r="K35" i="13" s="1"/>
  <c r="L28" i="13"/>
  <c r="L34" i="13" s="1"/>
  <c r="D28" i="13"/>
  <c r="D34" i="13" s="1"/>
  <c r="E27" i="13"/>
  <c r="E33" i="13" s="1"/>
  <c r="E36" i="13" s="1"/>
  <c r="H31" i="13"/>
  <c r="I30" i="13"/>
  <c r="L38" i="13"/>
  <c r="D38" i="13"/>
  <c r="J29" i="13"/>
  <c r="J35" i="13" s="1"/>
  <c r="K28" i="13"/>
  <c r="K34" i="13" s="1"/>
  <c r="L27" i="13"/>
  <c r="L33" i="13" s="1"/>
  <c r="L36" i="13" s="1"/>
  <c r="D27" i="13"/>
  <c r="D33" i="13" s="1"/>
  <c r="G31" i="13"/>
  <c r="H30" i="13"/>
  <c r="K38" i="13"/>
  <c r="I29" i="13"/>
  <c r="I35" i="13" s="1"/>
  <c r="J28" i="13"/>
  <c r="J34" i="13" s="1"/>
  <c r="K27" i="13"/>
  <c r="K33" i="13" s="1"/>
  <c r="C30" i="13"/>
  <c r="F31" i="13"/>
  <c r="G30" i="13"/>
  <c r="J38" i="13"/>
  <c r="H29" i="13"/>
  <c r="H35" i="13" s="1"/>
  <c r="I28" i="13"/>
  <c r="I34" i="13" s="1"/>
  <c r="C31" i="13"/>
  <c r="E31" i="13"/>
  <c r="F30" i="13"/>
  <c r="I38" i="13"/>
  <c r="C27" i="13"/>
  <c r="C33" i="13" s="1"/>
  <c r="G29" i="13"/>
  <c r="G35" i="13" s="1"/>
  <c r="H28" i="13"/>
  <c r="H34" i="13" s="1"/>
  <c r="L31" i="13"/>
  <c r="D31" i="13"/>
  <c r="H38" i="13"/>
  <c r="C28" i="13"/>
  <c r="C34" i="13" s="1"/>
  <c r="G28" i="13"/>
  <c r="G34" i="13" s="1"/>
  <c r="E40" i="15"/>
  <c r="L36" i="15" s="1"/>
  <c r="L38" i="15" s="1"/>
  <c r="L30" i="15" s="1"/>
  <c r="L43" i="15" s="1"/>
  <c r="L49" i="15" s="1"/>
  <c r="D18" i="24" s="1"/>
  <c r="B19" i="14"/>
  <c r="D19" i="14" s="1"/>
  <c r="E19" i="14" s="1"/>
  <c r="I65" i="10"/>
  <c r="L65" i="10"/>
  <c r="D65" i="10"/>
  <c r="I11" i="10"/>
  <c r="L60" i="10"/>
  <c r="D60" i="10"/>
  <c r="J60" i="10"/>
  <c r="K60" i="10"/>
  <c r="E65" i="10"/>
  <c r="K65" i="10"/>
  <c r="J65" i="10"/>
  <c r="I60" i="10"/>
  <c r="H60" i="10"/>
  <c r="C65" i="10"/>
  <c r="F60" i="10"/>
  <c r="L11" i="10"/>
  <c r="D11" i="10"/>
  <c r="E60" i="10"/>
  <c r="G60" i="10"/>
  <c r="K26" i="10"/>
  <c r="K18" i="13" s="1"/>
  <c r="H65" i="10"/>
  <c r="H67" i="10" s="1"/>
  <c r="D8" i="10"/>
  <c r="D5" i="13" s="1"/>
  <c r="F13" i="10"/>
  <c r="F19" i="10" s="1"/>
  <c r="L17" i="10"/>
  <c r="L17" i="13" s="1"/>
  <c r="D17" i="10"/>
  <c r="D17" i="13" s="1"/>
  <c r="C60" i="10"/>
  <c r="G65" i="10"/>
  <c r="M8" i="10"/>
  <c r="E8" i="10"/>
  <c r="E5" i="13" s="1"/>
  <c r="F65" i="10"/>
  <c r="M23" i="10"/>
  <c r="H11" i="10"/>
  <c r="G23" i="10"/>
  <c r="K13" i="10"/>
  <c r="K19" i="10" s="1"/>
  <c r="J39" i="22" s="1"/>
  <c r="J8" i="10"/>
  <c r="J5" i="13" s="1"/>
  <c r="C11" i="10"/>
  <c r="E11" i="10"/>
  <c r="H17" i="10"/>
  <c r="H17" i="13" s="1"/>
  <c r="I8" i="10"/>
  <c r="I5" i="13" s="1"/>
  <c r="C23" i="10"/>
  <c r="K11" i="10"/>
  <c r="G17" i="10"/>
  <c r="G17" i="13" s="1"/>
  <c r="G26" i="10"/>
  <c r="G18" i="13" s="1"/>
  <c r="C13" i="10"/>
  <c r="C14" i="10" s="1"/>
  <c r="C11" i="13" s="1"/>
  <c r="M11" i="10"/>
  <c r="L13" i="10"/>
  <c r="L14" i="10" s="1"/>
  <c r="L11" i="13" s="1"/>
  <c r="G11" i="10"/>
  <c r="K17" i="10"/>
  <c r="K17" i="13" s="1"/>
  <c r="M26" i="10"/>
  <c r="D13" i="10"/>
  <c r="D14" i="10" s="1"/>
  <c r="D11" i="13" s="1"/>
  <c r="L23" i="10"/>
  <c r="D23" i="10"/>
  <c r="E26" i="10"/>
  <c r="E18" i="13" s="1"/>
  <c r="F11" i="10"/>
  <c r="C17" i="10"/>
  <c r="C17" i="13" s="1"/>
  <c r="E17" i="10"/>
  <c r="E17" i="13" s="1"/>
  <c r="H26" i="10"/>
  <c r="H18" i="13" s="1"/>
  <c r="J23" i="10"/>
  <c r="H13" i="10"/>
  <c r="H19" i="10" s="1"/>
  <c r="G39" i="22" s="1"/>
  <c r="H8" i="10"/>
  <c r="H5" i="13" s="1"/>
  <c r="H23" i="10"/>
  <c r="C26" i="10"/>
  <c r="C18" i="13" s="1"/>
  <c r="J17" i="10"/>
  <c r="J17" i="13" s="1"/>
  <c r="F26" i="10"/>
  <c r="F18" i="13" s="1"/>
  <c r="L26" i="10"/>
  <c r="L18" i="13" s="1"/>
  <c r="D26" i="10"/>
  <c r="D18" i="13" s="1"/>
  <c r="J11" i="10"/>
  <c r="F17" i="10"/>
  <c r="F17" i="13" s="1"/>
  <c r="I26" i="10"/>
  <c r="I18" i="13" s="1"/>
  <c r="I17" i="10"/>
  <c r="I17" i="13" s="1"/>
  <c r="F23" i="10"/>
  <c r="G13" i="10"/>
  <c r="M28" i="10"/>
  <c r="M32" i="10" s="1"/>
  <c r="E23" i="10"/>
  <c r="J26" i="10"/>
  <c r="J18" i="13" s="1"/>
  <c r="M13" i="10"/>
  <c r="M14" i="10" s="1"/>
  <c r="E13" i="10"/>
  <c r="K23" i="10"/>
  <c r="J13" i="10"/>
  <c r="L8" i="10"/>
  <c r="L5" i="13" s="1"/>
  <c r="I23" i="10"/>
  <c r="G8" i="10"/>
  <c r="G5" i="13" s="1"/>
  <c r="I13" i="10"/>
  <c r="K8" i="10"/>
  <c r="K5" i="13" s="1"/>
  <c r="F8" i="10"/>
  <c r="F5" i="13" s="1"/>
  <c r="B6" i="6"/>
  <c r="E1" i="6"/>
  <c r="S22" i="14" l="1"/>
  <c r="T22" i="14" s="1"/>
  <c r="T21" i="14"/>
  <c r="G12" i="24"/>
  <c r="I12" i="24"/>
  <c r="H12" i="24"/>
  <c r="D24" i="24"/>
  <c r="J12" i="24"/>
  <c r="K12" i="24"/>
  <c r="I36" i="13"/>
  <c r="D67" i="10"/>
  <c r="J48" i="22"/>
  <c r="J50" i="22" s="1"/>
  <c r="J54" i="22" s="1"/>
  <c r="J61" i="22" s="1"/>
  <c r="J41" i="22"/>
  <c r="J62" i="22" s="1"/>
  <c r="N9" i="13"/>
  <c r="G48" i="22"/>
  <c r="G50" i="22" s="1"/>
  <c r="G41" i="22"/>
  <c r="O29" i="25"/>
  <c r="O31" i="25" s="1"/>
  <c r="O34" i="25" s="1"/>
  <c r="O37" i="25" s="1"/>
  <c r="N29" i="25"/>
  <c r="N31" i="25" s="1"/>
  <c r="N34" i="25" s="1"/>
  <c r="N37" i="25" s="1"/>
  <c r="N40" i="13"/>
  <c r="O40" i="13"/>
  <c r="E67" i="10"/>
  <c r="E69" i="10" s="1"/>
  <c r="O5" i="13"/>
  <c r="O29" i="13"/>
  <c r="O35" i="13" s="1"/>
  <c r="H36" i="13"/>
  <c r="G36" i="13"/>
  <c r="O9" i="13"/>
  <c r="N30" i="13"/>
  <c r="N36" i="13" s="1"/>
  <c r="D36" i="13"/>
  <c r="C36" i="13"/>
  <c r="K36" i="13"/>
  <c r="N18" i="13"/>
  <c r="O17" i="13"/>
  <c r="H69" i="10"/>
  <c r="H39" i="13"/>
  <c r="O31" i="13"/>
  <c r="J36" i="13"/>
  <c r="O38" i="13"/>
  <c r="N38" i="13"/>
  <c r="D69" i="10"/>
  <c r="D39" i="13"/>
  <c r="F21" i="13"/>
  <c r="F13" i="13"/>
  <c r="F19" i="13" s="1"/>
  <c r="F25" i="13"/>
  <c r="N28" i="13"/>
  <c r="N34" i="13" s="1"/>
  <c r="N5" i="13"/>
  <c r="N29" i="13"/>
  <c r="N35" i="13" s="1"/>
  <c r="O27" i="13"/>
  <c r="O33" i="13" s="1"/>
  <c r="N27" i="13"/>
  <c r="N33" i="13" s="1"/>
  <c r="O18" i="13"/>
  <c r="H20" i="10"/>
  <c r="H12" i="13" s="1"/>
  <c r="H21" i="13"/>
  <c r="H13" i="13"/>
  <c r="H19" i="13" s="1"/>
  <c r="H25" i="13"/>
  <c r="O30" i="13"/>
  <c r="O36" i="13" s="1"/>
  <c r="K21" i="13"/>
  <c r="K13" i="13"/>
  <c r="K19" i="13" s="1"/>
  <c r="K25" i="13"/>
  <c r="I67" i="10"/>
  <c r="O28" i="13"/>
  <c r="O34" i="13" s="1"/>
  <c r="N31" i="13"/>
  <c r="N17" i="13"/>
  <c r="E39" i="13"/>
  <c r="B20" i="14"/>
  <c r="D20" i="14" s="1"/>
  <c r="L67" i="10"/>
  <c r="H28" i="10"/>
  <c r="J67" i="10"/>
  <c r="C67" i="10"/>
  <c r="K67" i="10"/>
  <c r="F14" i="10"/>
  <c r="F11" i="13" s="1"/>
  <c r="G67" i="10"/>
  <c r="H14" i="10"/>
  <c r="H11" i="13" s="1"/>
  <c r="F67" i="10"/>
  <c r="K14" i="10"/>
  <c r="K11" i="13" s="1"/>
  <c r="L19" i="10"/>
  <c r="C19" i="10"/>
  <c r="D19" i="10"/>
  <c r="F20" i="10"/>
  <c r="F12" i="13" s="1"/>
  <c r="F28" i="10"/>
  <c r="I19" i="10"/>
  <c r="H39" i="22" s="1"/>
  <c r="I14" i="10"/>
  <c r="I11" i="13" s="1"/>
  <c r="E19" i="10"/>
  <c r="E14" i="10"/>
  <c r="E11" i="13" s="1"/>
  <c r="M29" i="10"/>
  <c r="M34" i="10"/>
  <c r="J19" i="10"/>
  <c r="I39" i="22" s="1"/>
  <c r="J14" i="10"/>
  <c r="J11" i="13" s="1"/>
  <c r="G19" i="10"/>
  <c r="H6" i="13" s="1"/>
  <c r="G14" i="10"/>
  <c r="G11" i="13" s="1"/>
  <c r="K20" i="10"/>
  <c r="K12" i="13" s="1"/>
  <c r="K28" i="10"/>
  <c r="J64" i="22" l="1"/>
  <c r="H48" i="22"/>
  <c r="H50" i="22" s="1"/>
  <c r="H54" i="22" s="1"/>
  <c r="H41" i="22"/>
  <c r="H62" i="22" s="1"/>
  <c r="I48" i="22"/>
  <c r="I50" i="22" s="1"/>
  <c r="I54" i="22" s="1"/>
  <c r="I61" i="22" s="1"/>
  <c r="I41" i="22"/>
  <c r="I62" i="22" s="1"/>
  <c r="L20" i="10"/>
  <c r="L12" i="13" s="1"/>
  <c r="K39" i="22"/>
  <c r="N11" i="13"/>
  <c r="G69" i="10"/>
  <c r="G39" i="13"/>
  <c r="D28" i="10"/>
  <c r="D21" i="13"/>
  <c r="D13" i="13"/>
  <c r="D19" i="13" s="1"/>
  <c r="D25" i="13"/>
  <c r="D6" i="13"/>
  <c r="C28" i="10"/>
  <c r="C34" i="10" s="1"/>
  <c r="C21" i="13"/>
  <c r="C25" i="13"/>
  <c r="C13" i="13"/>
  <c r="C69" i="10"/>
  <c r="C39" i="13"/>
  <c r="E21" i="13"/>
  <c r="E13" i="13"/>
  <c r="E19" i="13" s="1"/>
  <c r="E25" i="13"/>
  <c r="E6" i="13"/>
  <c r="L28" i="10"/>
  <c r="L7" i="13" s="1"/>
  <c r="L21" i="13"/>
  <c r="L13" i="13"/>
  <c r="L19" i="13" s="1"/>
  <c r="L25" i="13"/>
  <c r="L6" i="13"/>
  <c r="J69" i="10"/>
  <c r="J39" i="13"/>
  <c r="J25" i="13"/>
  <c r="J6" i="13"/>
  <c r="J21" i="13"/>
  <c r="J13" i="13"/>
  <c r="J19" i="13" s="1"/>
  <c r="K69" i="10"/>
  <c r="K39" i="13"/>
  <c r="H34" i="10"/>
  <c r="H39" i="10" s="1"/>
  <c r="I69" i="10"/>
  <c r="I39" i="13"/>
  <c r="G21" i="13"/>
  <c r="G13" i="13"/>
  <c r="G19" i="13" s="1"/>
  <c r="G25" i="13"/>
  <c r="G6" i="13"/>
  <c r="I6" i="13"/>
  <c r="I21" i="13"/>
  <c r="I13" i="13"/>
  <c r="I19" i="13" s="1"/>
  <c r="I25" i="13"/>
  <c r="F69" i="10"/>
  <c r="F39" i="13"/>
  <c r="L69" i="10"/>
  <c r="L39" i="13"/>
  <c r="K6" i="13"/>
  <c r="F6" i="13"/>
  <c r="E20" i="14"/>
  <c r="B21" i="14"/>
  <c r="D21" i="14" s="1"/>
  <c r="E21" i="14" s="1"/>
  <c r="H29" i="10"/>
  <c r="H14" i="13" s="1"/>
  <c r="H32" i="10"/>
  <c r="C20" i="10"/>
  <c r="C12" i="13" s="1"/>
  <c r="D20" i="10"/>
  <c r="D12" i="13" s="1"/>
  <c r="M35" i="10"/>
  <c r="M39" i="10"/>
  <c r="K29" i="10"/>
  <c r="K14" i="13" s="1"/>
  <c r="K34" i="10"/>
  <c r="K32" i="10"/>
  <c r="E20" i="10"/>
  <c r="E12" i="13" s="1"/>
  <c r="E28" i="10"/>
  <c r="G20" i="10"/>
  <c r="G12" i="13" s="1"/>
  <c r="G28" i="10"/>
  <c r="G7" i="13" s="1"/>
  <c r="D32" i="10"/>
  <c r="F34" i="10"/>
  <c r="F29" i="10"/>
  <c r="F14" i="13" s="1"/>
  <c r="F32" i="10"/>
  <c r="J20" i="10"/>
  <c r="J12" i="13" s="1"/>
  <c r="J28" i="10"/>
  <c r="I20" i="10"/>
  <c r="I12" i="13" s="1"/>
  <c r="I28" i="10"/>
  <c r="I7" i="13" s="1"/>
  <c r="H61" i="22" l="1"/>
  <c r="H64" i="22" s="1"/>
  <c r="J7" i="13"/>
  <c r="K48" i="22"/>
  <c r="K50" i="22" s="1"/>
  <c r="K54" i="22" s="1"/>
  <c r="K61" i="22" s="1"/>
  <c r="F6" i="24"/>
  <c r="K41" i="22"/>
  <c r="K62" i="22" s="1"/>
  <c r="I64" i="22"/>
  <c r="C29" i="10"/>
  <c r="C14" i="13" s="1"/>
  <c r="D7" i="13"/>
  <c r="C32" i="10"/>
  <c r="H35" i="10"/>
  <c r="H15" i="13" s="1"/>
  <c r="L34" i="10"/>
  <c r="L35" i="10" s="1"/>
  <c r="L15" i="13" s="1"/>
  <c r="F23" i="13"/>
  <c r="H23" i="13"/>
  <c r="K7" i="13"/>
  <c r="C19" i="13"/>
  <c r="N19" i="13" s="1"/>
  <c r="N13" i="13"/>
  <c r="N12" i="13"/>
  <c r="O6" i="13"/>
  <c r="N6" i="13"/>
  <c r="D34" i="10"/>
  <c r="D23" i="13" s="1"/>
  <c r="N39" i="13"/>
  <c r="O39" i="13"/>
  <c r="L29" i="10"/>
  <c r="L14" i="13" s="1"/>
  <c r="K23" i="13"/>
  <c r="D29" i="10"/>
  <c r="D14" i="13" s="1"/>
  <c r="O25" i="13"/>
  <c r="N25" i="13"/>
  <c r="E7" i="13"/>
  <c r="N21" i="13"/>
  <c r="O21" i="13"/>
  <c r="L32" i="10"/>
  <c r="F7" i="13"/>
  <c r="H7" i="13"/>
  <c r="C23" i="13"/>
  <c r="B22" i="14"/>
  <c r="D22" i="14" s="1"/>
  <c r="E22" i="14" s="1"/>
  <c r="H43" i="10"/>
  <c r="H45" i="10" s="1"/>
  <c r="H22" i="13" s="1"/>
  <c r="M45" i="10"/>
  <c r="M43" i="10"/>
  <c r="F35" i="10"/>
  <c r="F15" i="13" s="1"/>
  <c r="F39" i="10"/>
  <c r="I34" i="10"/>
  <c r="I29" i="10"/>
  <c r="I14" i="13" s="1"/>
  <c r="I32" i="10"/>
  <c r="E29" i="10"/>
  <c r="E14" i="13" s="1"/>
  <c r="E34" i="10"/>
  <c r="E32" i="10"/>
  <c r="K39" i="10"/>
  <c r="K35" i="10"/>
  <c r="K15" i="13" s="1"/>
  <c r="J29" i="10"/>
  <c r="J14" i="13" s="1"/>
  <c r="J34" i="10"/>
  <c r="J32" i="10"/>
  <c r="G29" i="10"/>
  <c r="G14" i="13" s="1"/>
  <c r="G34" i="10"/>
  <c r="G32" i="10"/>
  <c r="C35" i="10"/>
  <c r="C15" i="13" s="1"/>
  <c r="C39" i="10"/>
  <c r="K56" i="22" l="1"/>
  <c r="K64" i="22"/>
  <c r="F8" i="24"/>
  <c r="G6" i="24"/>
  <c r="O7" i="13"/>
  <c r="K57" i="22"/>
  <c r="F9" i="24" s="1"/>
  <c r="G9" i="24" s="1"/>
  <c r="H9" i="24" s="1"/>
  <c r="I9" i="24" s="1"/>
  <c r="J9" i="24" s="1"/>
  <c r="K67" i="22"/>
  <c r="K66" i="22"/>
  <c r="N14" i="13"/>
  <c r="D8" i="13"/>
  <c r="L39" i="10"/>
  <c r="L40" i="10" s="1"/>
  <c r="N7" i="13"/>
  <c r="G23" i="13"/>
  <c r="G8" i="13"/>
  <c r="I8" i="13"/>
  <c r="I23" i="13"/>
  <c r="O19" i="13"/>
  <c r="H8" i="13"/>
  <c r="J8" i="13"/>
  <c r="J23" i="13"/>
  <c r="E23" i="13"/>
  <c r="E8" i="13"/>
  <c r="F8" i="13"/>
  <c r="D39" i="10"/>
  <c r="D43" i="10" s="1"/>
  <c r="H24" i="13"/>
  <c r="D35" i="10"/>
  <c r="D15" i="13" s="1"/>
  <c r="K8" i="13"/>
  <c r="L8" i="13"/>
  <c r="L23" i="13"/>
  <c r="K45" i="10"/>
  <c r="K22" i="13" s="1"/>
  <c r="K24" i="13" s="1"/>
  <c r="K43" i="10"/>
  <c r="F43" i="10"/>
  <c r="F45" i="10" s="1"/>
  <c r="F22" i="13" s="1"/>
  <c r="F24" i="13" s="1"/>
  <c r="C45" i="10"/>
  <c r="C22" i="13" s="1"/>
  <c r="C43" i="10"/>
  <c r="J39" i="10"/>
  <c r="J35" i="10"/>
  <c r="J15" i="13" s="1"/>
  <c r="E35" i="10"/>
  <c r="E15" i="13" s="1"/>
  <c r="E39" i="10"/>
  <c r="F40" i="10" s="1"/>
  <c r="I35" i="10"/>
  <c r="I15" i="13" s="1"/>
  <c r="I39" i="10"/>
  <c r="G39" i="10"/>
  <c r="G35" i="10"/>
  <c r="G15" i="13" s="1"/>
  <c r="G8" i="24" l="1"/>
  <c r="G10" i="24" s="1"/>
  <c r="G14" i="24" s="1"/>
  <c r="H6" i="24"/>
  <c r="F10" i="24"/>
  <c r="L45" i="10"/>
  <c r="L22" i="13" s="1"/>
  <c r="L24" i="13" s="1"/>
  <c r="O23" i="13"/>
  <c r="L43" i="10"/>
  <c r="M40" i="10"/>
  <c r="O15" i="13"/>
  <c r="O8" i="13"/>
  <c r="N23" i="13"/>
  <c r="D45" i="10"/>
  <c r="D22" i="13" s="1"/>
  <c r="D24" i="13" s="1"/>
  <c r="N8" i="13"/>
  <c r="N15" i="13"/>
  <c r="D40" i="10"/>
  <c r="C24" i="13"/>
  <c r="J43" i="10"/>
  <c r="J45" i="10" s="1"/>
  <c r="J22" i="13" s="1"/>
  <c r="J24" i="13" s="1"/>
  <c r="G43" i="10"/>
  <c r="G45" i="10" s="1"/>
  <c r="G22" i="13" s="1"/>
  <c r="G24" i="13" s="1"/>
  <c r="I43" i="10"/>
  <c r="I45" i="10" s="1"/>
  <c r="I22" i="13" s="1"/>
  <c r="I24" i="13" s="1"/>
  <c r="E43" i="10"/>
  <c r="E45" i="10" s="1"/>
  <c r="E22" i="13" s="1"/>
  <c r="E24" i="13" s="1"/>
  <c r="G40" i="10"/>
  <c r="H40" i="10"/>
  <c r="I40" i="10"/>
  <c r="E40" i="10"/>
  <c r="J40" i="10"/>
  <c r="K40" i="10"/>
  <c r="H8" i="24" l="1"/>
  <c r="H10" i="24" s="1"/>
  <c r="H14" i="24" s="1"/>
  <c r="I6" i="24"/>
  <c r="O22" i="13"/>
  <c r="N22" i="13"/>
  <c r="N24" i="13"/>
  <c r="O24" i="13"/>
  <c r="J6" i="24" l="1"/>
  <c r="I8" i="24"/>
  <c r="I10" i="24" s="1"/>
  <c r="I14" i="24" s="1"/>
  <c r="J8" i="24" l="1"/>
  <c r="J10" i="24" s="1"/>
  <c r="J14" i="24" s="1"/>
  <c r="K6" i="24"/>
  <c r="K8" i="24" s="1"/>
  <c r="K10" i="24" s="1"/>
  <c r="D23" i="24" l="1"/>
  <c r="D27" i="24" s="1"/>
  <c r="D32" i="24" s="1"/>
  <c r="K14" i="24"/>
  <c r="D31" i="24" s="1"/>
  <c r="D33" i="24" l="1"/>
  <c r="D37" i="24" s="1"/>
  <c r="D40" i="24" s="1"/>
  <c r="N30" i="24" l="1"/>
  <c r="D43" i="24"/>
  <c r="G30" i="24"/>
  <c r="C37" i="24"/>
</calcChain>
</file>

<file path=xl/sharedStrings.xml><?xml version="1.0" encoding="utf-8"?>
<sst xmlns="http://schemas.openxmlformats.org/spreadsheetml/2006/main" count="712" uniqueCount="538">
  <si>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</si>
  <si>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</si>
  <si>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</si>
  <si>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</si>
  <si>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</si>
  <si>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</si>
  <si>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</si>
  <si>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</si>
  <si>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</si>
  <si>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</si>
  <si>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</si>
  <si>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</si>
  <si>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</si>
  <si>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</si>
  <si>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</si>
  <si>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</si>
  <si>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</si>
  <si>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</si>
  <si>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</si>
  <si>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</si>
  <si>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</si>
  <si>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</si>
  <si>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</si>
  <si>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</si>
  <si>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</si>
  <si>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</si>
  <si>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</si>
  <si>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</si>
  <si>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</si>
  <si>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</si>
  <si>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</si>
  <si>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</si>
  <si>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</si>
  <si>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TATA STEEL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</si>
  <si>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</si>
  <si>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</si>
  <si>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</si>
  <si>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</si>
  <si>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</si>
  <si>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</si>
  <si>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</si>
  <si>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</si>
  <si>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</si>
  <si>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</si>
  <si>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</si>
  <si>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</si>
  <si>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</si>
  <si>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</si>
  <si>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</si>
  <si>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</si>
  <si>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</si>
  <si>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</si>
  <si>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</si>
  <si>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</si>
  <si>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</si>
  <si>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</si>
  <si>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#</t>
  </si>
  <si>
    <t>Income Statement</t>
  </si>
  <si>
    <t>LTM</t>
  </si>
  <si>
    <t>COGS</t>
  </si>
  <si>
    <t>COGS % Sales</t>
  </si>
  <si>
    <t>Gross Profit</t>
  </si>
  <si>
    <t>Selling &amp; General Expenses</t>
  </si>
  <si>
    <t>EBITDA</t>
  </si>
  <si>
    <t>S&amp;G Exp % Sales</t>
  </si>
  <si>
    <t>Depreciation % Sales</t>
  </si>
  <si>
    <t>Gross Margins</t>
  </si>
  <si>
    <t>EBT % Sales</t>
  </si>
  <si>
    <t>Effective Tax Rate</t>
  </si>
  <si>
    <t>Net Profit</t>
  </si>
  <si>
    <t>Net Margins</t>
  </si>
  <si>
    <t>Divident per Share</t>
  </si>
  <si>
    <t>Divident payout ratio</t>
  </si>
  <si>
    <t>Retained Earnings</t>
  </si>
  <si>
    <t>Total Liabilities</t>
  </si>
  <si>
    <t>Fixed Assets Net Block</t>
  </si>
  <si>
    <t>Total Assets</t>
  </si>
  <si>
    <t>Historical Financial Statement- TATA STEEL LTD</t>
  </si>
  <si>
    <t xml:space="preserve">                 -</t>
  </si>
  <si>
    <t>EBITDA Margins</t>
  </si>
  <si>
    <t xml:space="preserve">Interest % Sales </t>
  </si>
  <si>
    <t>Earnings before Tax</t>
  </si>
  <si>
    <t xml:space="preserve">No of Equity Shares </t>
  </si>
  <si>
    <t>Earning per Share</t>
  </si>
  <si>
    <t xml:space="preserve">EPS Growth % </t>
  </si>
  <si>
    <t>Balance Sheet</t>
  </si>
  <si>
    <t>Total Non Current Assets</t>
  </si>
  <si>
    <t>Total Current Assests</t>
  </si>
  <si>
    <t>Check</t>
  </si>
  <si>
    <t>Cash Flow Statements</t>
  </si>
  <si>
    <t>Profit from operations</t>
  </si>
  <si>
    <t>Payables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</si>
  <si>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</si>
  <si>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</si>
  <si>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</si>
  <si>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</si>
  <si>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</si>
  <si>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</si>
  <si>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</si>
  <si>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</si>
  <si>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</si>
  <si>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</si>
  <si>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Acquisition of companies</t>
  </si>
  <si>
    <t>Inter corporate deposits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</si>
  <si>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</si>
  <si>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</si>
  <si>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</si>
  <si>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</si>
  <si>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</si>
  <si>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</si>
  <si>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</si>
  <si>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</si>
  <si>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from Operating Activity -</t>
  </si>
  <si>
    <t>Cash from Investing Activity -</t>
  </si>
  <si>
    <t>Cash from Financing Activity -</t>
  </si>
  <si>
    <t>Gross Margin</t>
  </si>
  <si>
    <t>EBITDA Growth</t>
  </si>
  <si>
    <t>EBIT Growth</t>
  </si>
  <si>
    <t>Net Profit Growth</t>
  </si>
  <si>
    <t>Divident Growth</t>
  </si>
  <si>
    <t xml:space="preserve">EBITDA Margin </t>
  </si>
  <si>
    <t>EBIT Margin</t>
  </si>
  <si>
    <t>Net Profit Margin</t>
  </si>
  <si>
    <t>EBT Margin</t>
  </si>
  <si>
    <t>Sales Expenses % Sales</t>
  </si>
  <si>
    <t>Operating income % Sales</t>
  </si>
  <si>
    <t xml:space="preserve">Return on Capital Employed </t>
  </si>
  <si>
    <t>Retained Earnings %</t>
  </si>
  <si>
    <t>Return on Equity %</t>
  </si>
  <si>
    <t>Self Sustained Growth Rate</t>
  </si>
  <si>
    <t>Interest Coverage Ratio</t>
  </si>
  <si>
    <t>Debtor Turnover Ratio</t>
  </si>
  <si>
    <t>Creditor Turnover Ratio</t>
  </si>
  <si>
    <t xml:space="preserve">Inventory Turnover </t>
  </si>
  <si>
    <t>Fixed Asset Turnover</t>
  </si>
  <si>
    <t>Capital Turnover Ratio</t>
  </si>
  <si>
    <t>Debtor Days</t>
  </si>
  <si>
    <t>Inventory Days</t>
  </si>
  <si>
    <t>Cash Conversion Cycle</t>
  </si>
  <si>
    <t>CFO/Sales</t>
  </si>
  <si>
    <t>CFO/Total Assets</t>
  </si>
  <si>
    <t>CFO/Total Debt</t>
  </si>
  <si>
    <t>Ratio Analysis of  - TATA STEEL LTD</t>
  </si>
  <si>
    <t xml:space="preserve">    -</t>
  </si>
  <si>
    <t xml:space="preserve">     -</t>
  </si>
  <si>
    <t>Payable Days</t>
  </si>
  <si>
    <t>Mean</t>
  </si>
  <si>
    <t>Median</t>
  </si>
  <si>
    <t>Trend</t>
  </si>
  <si>
    <t>Year Weight</t>
  </si>
  <si>
    <t>Year</t>
  </si>
  <si>
    <t>TATA STEEL LTD - Sales Forecasting</t>
  </si>
  <si>
    <t>TATA STEEL LTD - EBITDA Forecasting</t>
  </si>
  <si>
    <t>TATA STEEL LTD - EBIT Forecasting</t>
  </si>
  <si>
    <t>EBIT</t>
  </si>
  <si>
    <t>Weighted Average Cost of Capital</t>
  </si>
  <si>
    <t>All figures are in INR unless stated otherwise.</t>
  </si>
  <si>
    <t>Peer comps</t>
  </si>
  <si>
    <t>Name of the comp</t>
  </si>
  <si>
    <t>Country</t>
  </si>
  <si>
    <t>Total Debt</t>
  </si>
  <si>
    <t>Total Equity</t>
  </si>
  <si>
    <r>
      <t>Tax Rate</t>
    </r>
    <r>
      <rPr>
        <vertAlign val="superscript"/>
        <sz val="11"/>
        <color theme="1"/>
        <rFont val="Calibri"/>
        <family val="2"/>
        <scheme val="minor"/>
      </rPr>
      <t>1</t>
    </r>
  </si>
  <si>
    <t>Equity</t>
  </si>
  <si>
    <t>Debt /</t>
  </si>
  <si>
    <t>Capital</t>
  </si>
  <si>
    <t>Levered</t>
  </si>
  <si>
    <t>Unlevered</t>
  </si>
  <si>
    <r>
      <t>Beta</t>
    </r>
    <r>
      <rPr>
        <vertAlign val="superscript"/>
        <sz val="11"/>
        <color theme="1"/>
        <rFont val="Calibri"/>
        <family val="2"/>
        <scheme val="minor"/>
      </rPr>
      <t xml:space="preserve"> 2</t>
    </r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</si>
  <si>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3</t>
    </r>
  </si>
  <si>
    <t>Tata Steel</t>
  </si>
  <si>
    <t>India</t>
  </si>
  <si>
    <t>Average</t>
  </si>
  <si>
    <t>Cost of Debt</t>
  </si>
  <si>
    <t>Pre-Tax Cost of Debt</t>
  </si>
  <si>
    <t>Tax Rate</t>
  </si>
  <si>
    <t>Cost of Equity</t>
  </si>
  <si>
    <t>Risk Free Rate</t>
  </si>
  <si>
    <t>Equity Risk Premium</t>
  </si>
  <si>
    <r>
      <t>Levered Beta</t>
    </r>
    <r>
      <rPr>
        <vertAlign val="superscript"/>
        <sz val="11"/>
        <color theme="1"/>
        <rFont val="Calibri"/>
        <family val="2"/>
        <scheme val="minor"/>
      </rPr>
      <t xml:space="preserve"> 4</t>
    </r>
  </si>
  <si>
    <t>Capital Structure</t>
  </si>
  <si>
    <t>Current</t>
  </si>
  <si>
    <t>Target</t>
  </si>
  <si>
    <t>Total Capital</t>
  </si>
  <si>
    <t>Levered Beta</t>
  </si>
  <si>
    <t>Comps Median Unlevered Beta</t>
  </si>
  <si>
    <t>Target Debt/Equity</t>
  </si>
  <si>
    <t>Debt/Equity</t>
  </si>
  <si>
    <t>Notes:</t>
  </si>
  <si>
    <t>1. Tax Rate considered as Marginal Tax Rate for the country</t>
  </si>
  <si>
    <t>2. Levered beta is bases on 5 year monthly data</t>
  </si>
  <si>
    <t>3.Unlevered Beta=Levered Beta/(1+(1-Tax Rate )*Debt/Equity)</t>
  </si>
  <si>
    <t>4. Levered Beta= Unlevered Beta*(1+(1-Tax Rate )*Debt/Equity</t>
  </si>
  <si>
    <t>TATA STEEL LTD - Net Profit Forecasting</t>
  </si>
  <si>
    <t>Date</t>
  </si>
  <si>
    <t>Closing Price</t>
  </si>
  <si>
    <t>Beta Drifting</t>
  </si>
  <si>
    <t>Beta 1</t>
  </si>
  <si>
    <t>Beta 2</t>
  </si>
  <si>
    <t>Levered Raw Beta</t>
  </si>
  <si>
    <t>Raw Beta Weight</t>
  </si>
  <si>
    <t>Beta 3</t>
  </si>
  <si>
    <t xml:space="preserve">Market Beta </t>
  </si>
  <si>
    <t>SUMMARY OUTPUT</t>
  </si>
  <si>
    <t>Market Beta Weight</t>
  </si>
  <si>
    <t>Regression Statistics</t>
  </si>
  <si>
    <t>Adjusted Beta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</si>
  <si>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</si>
  <si>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</si>
  <si>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</si>
  <si>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</si>
  <si>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</si>
  <si>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</si>
  <si>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</si>
  <si>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</si>
  <si>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</si>
  <si>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</si>
  <si>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</si>
  <si>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</si>
  <si>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</si>
  <si>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</si>
  <si>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</si>
  <si>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</si>
  <si>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</si>
  <si>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</si>
  <si>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Lower 95.0%</t>
  </si>
  <si>
    <t>Intercept</t>
  </si>
  <si>
    <t>.No.</t>
  </si>
  <si>
    <t>Name</t>
  </si>
  <si>
    <t>CMP Rs.</t>
  </si>
  <si>
    <t>Mar Cap Rs.Cr.</t>
  </si>
  <si>
    <t>Debt Rs.Cr.</t>
  </si>
  <si>
    <t>Debt / Eq</t>
  </si>
  <si>
    <t>JSW Steel</t>
  </si>
  <si>
    <t>Jindal Steel</t>
  </si>
  <si>
    <t>Jindal Stain.</t>
  </si>
  <si>
    <t>NMDC Steel</t>
  </si>
  <si>
    <t>Annual</t>
  </si>
  <si>
    <t>Return on Market</t>
  </si>
  <si>
    <t>Average Return</t>
  </si>
  <si>
    <t>Divident Yield</t>
  </si>
  <si>
    <r>
      <t>1.28%</t>
    </r>
    <r>
      <rPr>
        <vertAlign val="superscript"/>
        <sz val="11"/>
        <color theme="1"/>
        <rFont val="Calibri"/>
        <family val="2"/>
        <scheme val="minor"/>
      </rPr>
      <t xml:space="preserve"> 1</t>
    </r>
  </si>
  <si>
    <t>Total Market Return</t>
  </si>
  <si>
    <t>Calcuation of Pre- Tax cost of Debt</t>
  </si>
  <si>
    <t>Annual interest</t>
  </si>
  <si>
    <t>Pre-Tax cost of Debt</t>
  </si>
  <si>
    <t>Cost  of Equity</t>
  </si>
  <si>
    <t>Equity Weight</t>
  </si>
  <si>
    <t>Debt Weight</t>
  </si>
  <si>
    <t>After Tax Cost of Debt</t>
  </si>
  <si>
    <t>p;l</t>
  </si>
  <si>
    <t>WACC</t>
  </si>
  <si>
    <t xml:space="preserve">WACC Calculation of TATA STEEL LTD </t>
  </si>
  <si>
    <t>Common Size Income Statement- TATA STEEL LTD</t>
  </si>
  <si>
    <t>Particulars</t>
  </si>
  <si>
    <t>Common Size Balance Sheet- TATA STEEL LTD</t>
  </si>
  <si>
    <t>total assets</t>
  </si>
  <si>
    <t>Equity Capital</t>
  </si>
  <si>
    <t>Borrowings -</t>
  </si>
  <si>
    <t>Long term Borrowings</t>
  </si>
  <si>
    <t>Short term Borrowings</t>
  </si>
  <si>
    <t>Lease Liabilities</t>
  </si>
  <si>
    <t>Preference Capital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</si>
  <si>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</si>
  <si>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</si>
  <si>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</si>
  <si>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</si>
  <si>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</si>
  <si>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</si>
  <si>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</si>
  <si>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</si>
  <si>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</si>
  <si>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</si>
  <si>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</si>
  <si>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</si>
  <si>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</si>
  <si>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</si>
  <si>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</si>
  <si>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</si>
  <si>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</si>
  <si>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</si>
  <si>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</si>
  <si>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Inventories</t>
  </si>
  <si>
    <t>Cash Equivalents</t>
  </si>
  <si>
    <t>Loans n Advances</t>
  </si>
  <si>
    <t>Other asset items</t>
  </si>
  <si>
    <t>Other Assests-</t>
  </si>
  <si>
    <t>Calculation of ROIC</t>
  </si>
  <si>
    <t>BALANCE SHEET DATA FOR THE CALCULATION OF INTRINSIC GROWTH OF TATA STEEL LTTD</t>
  </si>
  <si>
    <t>Current Assets</t>
  </si>
  <si>
    <t xml:space="preserve">Trade receivables </t>
  </si>
  <si>
    <t>Total Current Assets</t>
  </si>
  <si>
    <t>Current Liabilities</t>
  </si>
  <si>
    <t xml:space="preserve">Advance from Customers </t>
  </si>
  <si>
    <t>Total Current Liabilities</t>
  </si>
  <si>
    <t>Net Working Capital</t>
  </si>
  <si>
    <t>Non- Current Assets</t>
  </si>
  <si>
    <t>Net Non- Current Assets</t>
  </si>
  <si>
    <t>Invested Capital</t>
  </si>
  <si>
    <t>ROIC</t>
  </si>
  <si>
    <t>Calculation of Reinvestment Rate</t>
  </si>
  <si>
    <t>Net Capex</t>
  </si>
  <si>
    <t>Change in Working Capital</t>
  </si>
  <si>
    <t>Marginal Tax Rate</t>
  </si>
  <si>
    <t>Reinvestment Amount</t>
  </si>
  <si>
    <t>Reinvestment Rate</t>
  </si>
  <si>
    <t>EBIT(1-T)</t>
  </si>
  <si>
    <t>4 Year Average</t>
  </si>
  <si>
    <t>4 Year Median</t>
  </si>
  <si>
    <t>Calculation of Growth Rate</t>
  </si>
  <si>
    <t>Intrinsic Growth</t>
  </si>
  <si>
    <t>Calculation of PV of FCFF</t>
  </si>
  <si>
    <t>Mar - 25A</t>
  </si>
  <si>
    <t>Mar - 26F</t>
  </si>
  <si>
    <t>Mar -27F</t>
  </si>
  <si>
    <t>Mar -28F</t>
  </si>
  <si>
    <t>Mar -29F</t>
  </si>
  <si>
    <t>Mar -30F</t>
  </si>
  <si>
    <t>Less: Reinvestment Rate</t>
  </si>
  <si>
    <t>Free Cash Flow to Firm (FCFF)</t>
  </si>
  <si>
    <t xml:space="preserve">Mid Year Convention </t>
  </si>
  <si>
    <t>Discounting Factor</t>
  </si>
  <si>
    <t>PV of FCFF</t>
  </si>
  <si>
    <t>Expected Growth</t>
  </si>
  <si>
    <t>Terminal Growth</t>
  </si>
  <si>
    <t>Calculation of Terminal Value</t>
  </si>
  <si>
    <t>FCFF(n+1)</t>
  </si>
  <si>
    <t>Terminal Growth Rate</t>
  </si>
  <si>
    <t>Terminal Value</t>
  </si>
  <si>
    <t>PV of Terminal Value</t>
  </si>
  <si>
    <t>Value of Operating Assets</t>
  </si>
  <si>
    <t>Add: Cash</t>
  </si>
  <si>
    <t>Less: Debt</t>
  </si>
  <si>
    <t>Calculation of Equity Value per Share</t>
  </si>
  <si>
    <t>Value of Equity</t>
  </si>
  <si>
    <t>No of Shares</t>
  </si>
  <si>
    <t>Equity Value per Share</t>
  </si>
  <si>
    <t>Share price</t>
  </si>
  <si>
    <t>Discount/Premium</t>
  </si>
  <si>
    <t>Comparable Company Valuation</t>
  </si>
  <si>
    <t>Company</t>
  </si>
  <si>
    <t>Ticker</t>
  </si>
  <si>
    <t>Share</t>
  </si>
  <si>
    <t>Price</t>
  </si>
  <si>
    <t>Shares</t>
  </si>
  <si>
    <t>Outstanding</t>
  </si>
  <si>
    <t>Equity Value</t>
  </si>
  <si>
    <t>Net Debt</t>
  </si>
  <si>
    <t>Market Data</t>
  </si>
  <si>
    <t>Revenue</t>
  </si>
  <si>
    <t>Net Income</t>
  </si>
  <si>
    <t>Financials</t>
  </si>
  <si>
    <t>Valuation</t>
  </si>
  <si>
    <t>S A I L</t>
  </si>
  <si>
    <t>Sarda Energy</t>
  </si>
  <si>
    <t xml:space="preserve">Cash End </t>
  </si>
  <si>
    <t xml:space="preserve">Sales </t>
  </si>
  <si>
    <t xml:space="preserve">Tax </t>
  </si>
  <si>
    <t xml:space="preserve">Interest </t>
  </si>
  <si>
    <t>No. Eq. Shares</t>
  </si>
  <si>
    <t xml:space="preserve">Debt </t>
  </si>
  <si>
    <t xml:space="preserve">NP </t>
  </si>
  <si>
    <t>Peer comps data for Relative Valuation</t>
  </si>
  <si>
    <t>.</t>
  </si>
  <si>
    <t>Dep</t>
  </si>
  <si>
    <t xml:space="preserve">Mar Cap </t>
  </si>
  <si>
    <t>E.margin</t>
  </si>
  <si>
    <t>EV(new)</t>
  </si>
  <si>
    <t>Market cap.</t>
  </si>
  <si>
    <t>Value</t>
  </si>
  <si>
    <t>Enterprise</t>
  </si>
  <si>
    <t>EV/Revenue</t>
  </si>
  <si>
    <t>EV/EBITDA</t>
  </si>
  <si>
    <t>P/E</t>
  </si>
  <si>
    <t>High</t>
  </si>
  <si>
    <t>75th Percentile</t>
  </si>
  <si>
    <t>25th Percentile</t>
  </si>
  <si>
    <t>Low</t>
  </si>
  <si>
    <t>Cipla Comparable Valuation</t>
  </si>
  <si>
    <t>Implied Enterprise Value</t>
  </si>
  <si>
    <t>Implied Market Value</t>
  </si>
  <si>
    <t>Shares Outstanding</t>
  </si>
  <si>
    <t>Implied Value per Share</t>
  </si>
  <si>
    <t>Source: Screener.in</t>
  </si>
  <si>
    <t>Amount in crores</t>
  </si>
  <si>
    <t>Sensitivity Analysis - Value of Operating Activities</t>
  </si>
  <si>
    <t xml:space="preserve">Terminal </t>
  </si>
  <si>
    <t>Growth</t>
  </si>
  <si>
    <t>rate</t>
  </si>
  <si>
    <t>Football Field Analysis</t>
  </si>
  <si>
    <t>Openlow</t>
  </si>
  <si>
    <t>Openhigh</t>
  </si>
  <si>
    <t>Comps</t>
  </si>
  <si>
    <t>DCF Bear</t>
  </si>
  <si>
    <t>DCF Bull</t>
  </si>
  <si>
    <t>52W/L</t>
  </si>
  <si>
    <t>Football Field Analysis - Data</t>
  </si>
  <si>
    <t>DCF Base</t>
  </si>
  <si>
    <t xml:space="preserve">TATA STEEL LTD </t>
  </si>
  <si>
    <t>Equity Analysis - Equity value per Share</t>
  </si>
  <si>
    <t>BSE: 500470</t>
  </si>
  <si>
    <t>NSE: TATA STEEL</t>
  </si>
  <si>
    <t>( A Comprehensive DCF &amp; Comparable Comps Valuation )</t>
  </si>
  <si>
    <t>Prepared by : Akanksha Singh</t>
  </si>
  <si>
    <t xml:space="preserve">Financial Modelling </t>
  </si>
  <si>
    <t>Report</t>
  </si>
  <si>
    <t>Table of Contents</t>
  </si>
  <si>
    <t>Historical Financial Statement</t>
  </si>
  <si>
    <t>Common Size Statement</t>
  </si>
  <si>
    <t>Ratio Analysis</t>
  </si>
  <si>
    <t>Forecasting</t>
  </si>
  <si>
    <t>Regression Beta</t>
  </si>
  <si>
    <t>Weighted Average Cost of Capital (WACC)</t>
  </si>
  <si>
    <t xml:space="preserve">DCF Valuation </t>
  </si>
  <si>
    <t>Comparable Copanies Valuation</t>
  </si>
  <si>
    <t>Sensitivity Analysis</t>
  </si>
  <si>
    <t>Football Field Analysis Table - TATA MOTORS LTD</t>
  </si>
  <si>
    <t>Regreesion Beta - 2 Years Weekly</t>
  </si>
  <si>
    <t>Tata Motor Weekly Returns</t>
  </si>
  <si>
    <t>Nifty 50 Returns</t>
  </si>
  <si>
    <t>Returns</t>
  </si>
  <si>
    <t>Mar 20, 2026</t>
  </si>
  <si>
    <t>Mar 16, 2026</t>
  </si>
  <si>
    <t>Mar 9, 2026</t>
  </si>
  <si>
    <t>Mar 2, 2026</t>
  </si>
  <si>
    <t>Feb 23, 2026</t>
  </si>
  <si>
    <t>Feb 16, 2026</t>
  </si>
  <si>
    <t>Feb 9, 2026</t>
  </si>
  <si>
    <t>Feb 2, 2026</t>
  </si>
  <si>
    <t>Jan 26, 2026</t>
  </si>
  <si>
    <t>Jan 19, 2026</t>
  </si>
  <si>
    <t>Jan 12, 2026</t>
  </si>
  <si>
    <t>Jan 5, 2026</t>
  </si>
  <si>
    <t>Dec 29, 2025</t>
  </si>
  <si>
    <t>Dec 22, 2025</t>
  </si>
  <si>
    <t>Dec 15, 2025</t>
  </si>
  <si>
    <t>Dec 8, 2025</t>
  </si>
  <si>
    <t>Dec 1, 2025</t>
  </si>
  <si>
    <t>Nov 24, 2025</t>
  </si>
  <si>
    <t>Nov 17, 2025</t>
  </si>
  <si>
    <t>Nov 10, 2025</t>
  </si>
  <si>
    <t>Nov 3, 2025</t>
  </si>
  <si>
    <t>Oct 27, 2025</t>
  </si>
  <si>
    <t>Oct 20, 2025</t>
  </si>
  <si>
    <t>Oct 13, 2025</t>
  </si>
  <si>
    <t>Oct 6, 2025</t>
  </si>
  <si>
    <t>Sep 29, 2025</t>
  </si>
  <si>
    <t>Sep 22, 2025</t>
  </si>
  <si>
    <t>Sep 15, 2025</t>
  </si>
  <si>
    <t>Sep 8, 2025</t>
  </si>
  <si>
    <t>Sep 1, 2025</t>
  </si>
  <si>
    <t>Aug 25, 2025</t>
  </si>
  <si>
    <t>Aug 18, 2025</t>
  </si>
  <si>
    <t>Aug 11, 2025</t>
  </si>
  <si>
    <t>Aug 4, 2025</t>
  </si>
  <si>
    <t>Jul 28, 2025</t>
  </si>
  <si>
    <t>Jul 21, 2025</t>
  </si>
  <si>
    <t>Jul 14, 2025</t>
  </si>
  <si>
    <t>Jul 7, 2025</t>
  </si>
  <si>
    <t>Jun 30, 2025</t>
  </si>
  <si>
    <t>Jun 23, 2025</t>
  </si>
  <si>
    <t>Jun 16, 2025</t>
  </si>
  <si>
    <t>Jun 9, 2025</t>
  </si>
  <si>
    <t>Jun 2, 2025</t>
  </si>
  <si>
    <t>May 26, 2025</t>
  </si>
  <si>
    <t>May 19, 2025</t>
  </si>
  <si>
    <t>May 12, 2025</t>
  </si>
  <si>
    <t>May 5, 2025</t>
  </si>
  <si>
    <t>Apr 28, 2025</t>
  </si>
  <si>
    <t>Apr 21, 2025</t>
  </si>
  <si>
    <t>Apr 14, 2025</t>
  </si>
  <si>
    <t>Apr 7, 2025</t>
  </si>
  <si>
    <t>Mar 31, 2025</t>
  </si>
  <si>
    <t>Mar 24, 2025</t>
  </si>
  <si>
    <t>Mar 17, 2025</t>
  </si>
  <si>
    <t>Mar 10, 2025</t>
  </si>
  <si>
    <t>Mar 3, 2025</t>
  </si>
  <si>
    <t>Feb 24, 2025</t>
  </si>
  <si>
    <t>Feb 17, 2025</t>
  </si>
  <si>
    <t>Feb 10, 2025</t>
  </si>
  <si>
    <t>Feb 3, 2025</t>
  </si>
  <si>
    <t>Jan 27, 2025</t>
  </si>
  <si>
    <t>Jan 20, 2025</t>
  </si>
  <si>
    <t>Jan 13, 2025</t>
  </si>
  <si>
    <t>Jan 6, 2025</t>
  </si>
  <si>
    <t>Dec 30, 2024</t>
  </si>
  <si>
    <t>Dec 23, 2024</t>
  </si>
  <si>
    <t>Dec 16, 2024</t>
  </si>
  <si>
    <t>Dec 9, 2024</t>
  </si>
  <si>
    <t>Dec 2, 2024</t>
  </si>
  <si>
    <t>Nov 25, 2024</t>
  </si>
  <si>
    <t>Nov 18, 2024</t>
  </si>
  <si>
    <t>Nov 11, 2024</t>
  </si>
  <si>
    <t>Nov 4, 2024</t>
  </si>
  <si>
    <t>Oct 28, 2024</t>
  </si>
  <si>
    <t>Oct 21, 2024</t>
  </si>
  <si>
    <t>Oct 14, 2024</t>
  </si>
  <si>
    <t>Oct 7, 2024</t>
  </si>
  <si>
    <t>Sep 30, 2024</t>
  </si>
  <si>
    <t>Sep 23, 2024</t>
  </si>
  <si>
    <t>Sep 16, 2024</t>
  </si>
  <si>
    <t>Sep 9, 2024</t>
  </si>
  <si>
    <t>Sep 2, 2024</t>
  </si>
  <si>
    <t>Aug 26, 2024</t>
  </si>
  <si>
    <t>Aug 19, 2024</t>
  </si>
  <si>
    <t>Aug 12, 2024</t>
  </si>
  <si>
    <t>Aug 5, 2024</t>
  </si>
  <si>
    <t>Jul 29, 2024</t>
  </si>
  <si>
    <t>Jul 22, 2024</t>
  </si>
  <si>
    <t>Jul 15, 2024</t>
  </si>
  <si>
    <t>Jul 8, 2024</t>
  </si>
  <si>
    <t>Jul 1, 2024</t>
  </si>
  <si>
    <t>Jun 24, 2024</t>
  </si>
  <si>
    <t>Jun 17, 2024</t>
  </si>
  <si>
    <t>Jun 10, 2024</t>
  </si>
  <si>
    <t>Jun 3, 2024</t>
  </si>
  <si>
    <t>May 27, 2024</t>
  </si>
  <si>
    <t>May 20, 2024</t>
  </si>
  <si>
    <t>May 13, 2024</t>
  </si>
  <si>
    <t>May 6, 2024</t>
  </si>
  <si>
    <t>Apr 29, 2024</t>
  </si>
  <si>
    <t>Apr 22, 2024</t>
  </si>
  <si>
    <t>Apr 15, 2024</t>
  </si>
  <si>
    <t>Apr 8, 2024</t>
  </si>
  <si>
    <t>Apr 1, 2024</t>
  </si>
  <si>
    <t>Mar 25, 2024</t>
  </si>
  <si>
    <t>Mar 18, 2024</t>
  </si>
  <si>
    <t>TATA STEEL LTD - Beta Regression</t>
  </si>
  <si>
    <t>Upper 95.0%</t>
  </si>
  <si>
    <t>Market capitalisation</t>
  </si>
  <si>
    <t>Debt</t>
  </si>
  <si>
    <t>Cash</t>
  </si>
  <si>
    <t>Enterprise Value</t>
  </si>
  <si>
    <t>EV/Sales</t>
  </si>
  <si>
    <t>Book Value</t>
  </si>
  <si>
    <t>Price /Book value</t>
  </si>
  <si>
    <t>market capitalisation(price value)</t>
  </si>
  <si>
    <t>TATA STEEL LTD - FORECASTING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</si>
</sst>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\(&quot;₹&quot;\ #,##0.0\);\-"/>
    <numFmt numFmtId="167" formatCode="0.00\x"/>
    <numFmt numFmtId="168" formatCode="0&quot;x&quot;"/>
    <numFmt numFmtId="169" formatCode="#,##0.0"/>
    <numFmt numFmtId="170" formatCode="0&quot;E&quot;"/>
    <numFmt numFmtId="171" formatCode="0&quot;A&quot;"/>
    <numFmt numFmtId="172" formatCode="#,##0.0;\(#,##0.0\);\-"/>
    <numFmt numFmtId="173" formatCode="#,##0.0;\(#,##0.0\)"/>
    <numFmt numFmtId="174" formatCode="0.000"/>
    <numFmt numFmtId="175" formatCode="0.00&quot;x&quot;"/>
    <numFmt numFmtId="176" formatCode="[$-14009]dd/mm/yy;@"/>
    <numFmt numFmtId="177" formatCode="[$-14009]dd/mm/yyyy;@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i/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3333FF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21">
    <border>
      <left/>
      <right/>
      <top/>
      <bottom/>
      <diagonal/>
    </border>
    <border>
      <left/>
      <right/>
      <top style="hair">
        <color theme="8" tint="-0.499984740745262"/>
      </top>
      <bottom style="hair">
        <color theme="8" tint="-0.499984740745262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theme="8" tint="-0.499984740745262"/>
      </top>
      <bottom/>
      <diagonal/>
    </border>
    <border>
      <left/>
      <right/>
      <top/>
      <bottom style="hair">
        <color theme="8" tint="-0.499984740745262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8" tint="-0.49998474074526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8" tint="-0.499984740745262"/>
      </top>
      <bottom style="thin">
        <color theme="8" tint="-0.4999847407452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8" tint="-0.499984740745262"/>
      </top>
      <bottom/>
      <diagonal/>
    </border>
    <border>
      <left/>
      <right/>
      <top style="thin">
        <color theme="8" tint="-0.499984740745262"/>
      </top>
      <bottom style="hair">
        <color theme="8" tint="-0.499984740745262"/>
      </bottom>
      <diagonal/>
    </border>
    <border>
      <left/>
      <right/>
      <top style="thin">
        <color theme="8" tint="-0.499984740745262"/>
      </top>
      <bottom style="double">
        <color theme="8" tint="-0.499984740745262"/>
      </bottom>
      <diagonal/>
    </border>
    <border>
      <left/>
      <right style="thin">
        <color theme="8" tint="-0.499984740745262"/>
      </right>
      <top/>
      <bottom/>
      <diagonal/>
    </border>
    <border>
      <left/>
      <right/>
      <top style="thick">
        <color theme="8" tint="-0.499984740745262"/>
      </top>
      <bottom/>
      <diagonal/>
    </border>
    <border>
      <left/>
      <right/>
      <top/>
      <bottom style="thick">
        <color theme="8" tint="-0.499984740745262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220">
    <xf numFmtId="0" fontId="0" fillId="0" borderId="0" xfId="0"/>
    <xf numFmtId="43" fontId="1" fillId="0" borderId="0" xfId="1" applyFont="1" applyBorder="1"/>
    <xf numFmtId="0" fontId="1" fillId="0" borderId="0" xfId="0" applyFont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164" fontId="0" fillId="0" borderId="0" xfId="1" applyNumberFormat="1" applyFont="1" applyBorder="1"/>
    <xf numFmtId="0" fontId="2" fillId="4" borderId="0" xfId="0" applyFont="1" applyFill="1" applyAlignment="1">
      <alignment horizontal="right"/>
    </xf>
    <xf numFmtId="10" fontId="0" fillId="0" borderId="0" xfId="4" applyNumberFormat="1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10" fontId="8" fillId="0" borderId="0" xfId="4" applyNumberFormat="1" applyFont="1"/>
    <xf numFmtId="166" fontId="0" fillId="0" borderId="0" xfId="0" applyNumberFormat="1"/>
    <xf numFmtId="0" fontId="1" fillId="5" borderId="0" xfId="0" applyFont="1" applyFill="1"/>
    <xf numFmtId="0" fontId="0" fillId="5" borderId="0" xfId="0" applyFill="1"/>
    <xf numFmtId="0" fontId="9" fillId="4" borderId="0" xfId="0" applyFont="1" applyFill="1"/>
    <xf numFmtId="17" fontId="9" fillId="4" borderId="0" xfId="0" applyNumberFormat="1" applyFont="1" applyFill="1"/>
    <xf numFmtId="0" fontId="10" fillId="5" borderId="0" xfId="0" applyFont="1" applyFill="1"/>
    <xf numFmtId="0" fontId="1" fillId="0" borderId="1" xfId="0" applyFont="1" applyBorder="1"/>
    <xf numFmtId="166" fontId="1" fillId="0" borderId="1" xfId="0" applyNumberFormat="1" applyFont="1" applyBorder="1"/>
    <xf numFmtId="0" fontId="1" fillId="0" borderId="3" xfId="0" applyFont="1" applyBorder="1"/>
    <xf numFmtId="166" fontId="1" fillId="0" borderId="3" xfId="0" applyNumberFormat="1" applyFont="1" applyBorder="1"/>
    <xf numFmtId="0" fontId="1" fillId="0" borderId="2" xfId="0" applyFont="1" applyBorder="1"/>
    <xf numFmtId="166" fontId="1" fillId="0" borderId="2" xfId="0" applyNumberFormat="1" applyFont="1" applyBorder="1"/>
    <xf numFmtId="0" fontId="0" fillId="0" borderId="4" xfId="0" applyBorder="1"/>
    <xf numFmtId="0" fontId="0" fillId="0" borderId="4" xfId="4" applyNumberFormat="1" applyFont="1" applyBorder="1"/>
    <xf numFmtId="0" fontId="0" fillId="0" borderId="0" xfId="0" applyAlignment="1">
      <alignment horizontal="right"/>
    </xf>
    <xf numFmtId="0" fontId="0" fillId="0" borderId="5" xfId="0" applyBorder="1"/>
    <xf numFmtId="0" fontId="0" fillId="0" borderId="5" xfId="0" applyBorder="1" applyAlignment="1">
      <alignment horizontal="right"/>
    </xf>
    <xf numFmtId="10" fontId="0" fillId="0" borderId="4" xfId="4" applyNumberFormat="1" applyFont="1" applyBorder="1"/>
    <xf numFmtId="10" fontId="0" fillId="0" borderId="0" xfId="4" applyNumberFormat="1" applyFont="1" applyBorder="1" applyAlignment="1">
      <alignment horizontal="right"/>
    </xf>
    <xf numFmtId="10" fontId="0" fillId="0" borderId="0" xfId="4" applyNumberFormat="1" applyFont="1" applyBorder="1"/>
    <xf numFmtId="10" fontId="0" fillId="0" borderId="5" xfId="4" applyNumberFormat="1" applyFont="1" applyBorder="1" applyAlignment="1">
      <alignment horizontal="right"/>
    </xf>
    <xf numFmtId="10" fontId="0" fillId="0" borderId="5" xfId="4" applyNumberFormat="1" applyFont="1" applyBorder="1"/>
    <xf numFmtId="0" fontId="0" fillId="0" borderId="6" xfId="0" applyBorder="1"/>
    <xf numFmtId="10" fontId="0" fillId="0" borderId="6" xfId="4" applyNumberFormat="1" applyFont="1" applyBorder="1"/>
    <xf numFmtId="0" fontId="0" fillId="0" borderId="7" xfId="0" applyBorder="1"/>
    <xf numFmtId="167" fontId="0" fillId="0" borderId="7" xfId="0" applyNumberFormat="1" applyBorder="1"/>
    <xf numFmtId="167" fontId="0" fillId="0" borderId="4" xfId="0" applyNumberFormat="1" applyBorder="1"/>
    <xf numFmtId="167" fontId="0" fillId="0" borderId="0" xfId="0" applyNumberFormat="1"/>
    <xf numFmtId="167" fontId="0" fillId="0" borderId="5" xfId="0" applyNumberFormat="1" applyBorder="1"/>
    <xf numFmtId="1" fontId="0" fillId="0" borderId="0" xfId="0" applyNumberFormat="1"/>
    <xf numFmtId="168" fontId="0" fillId="0" borderId="0" xfId="4" applyNumberFormat="1" applyFont="1"/>
    <xf numFmtId="168" fontId="0" fillId="0" borderId="5" xfId="4" applyNumberFormat="1" applyFont="1" applyBorder="1"/>
    <xf numFmtId="168" fontId="0" fillId="0" borderId="4" xfId="4" applyNumberFormat="1" applyFont="1" applyBorder="1"/>
    <xf numFmtId="168" fontId="0" fillId="0" borderId="0" xfId="4" applyNumberFormat="1" applyFont="1" applyBorder="1"/>
    <xf numFmtId="1" fontId="0" fillId="0" borderId="4" xfId="0" applyNumberFormat="1" applyBorder="1"/>
    <xf numFmtId="1" fontId="0" fillId="0" borderId="5" xfId="0" applyNumberFormat="1" applyBorder="1"/>
    <xf numFmtId="17" fontId="9" fillId="4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center"/>
    </xf>
    <xf numFmtId="0" fontId="2" fillId="6" borderId="0" xfId="0" applyFont="1" applyFill="1"/>
    <xf numFmtId="0" fontId="0" fillId="0" borderId="0" xfId="0" applyAlignment="1">
      <alignment horizontal="left"/>
    </xf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horizontal="right"/>
    </xf>
    <xf numFmtId="171" fontId="0" fillId="0" borderId="0" xfId="0" applyNumberFormat="1" applyAlignment="1">
      <alignment horizontal="center"/>
    </xf>
    <xf numFmtId="171" fontId="0" fillId="0" borderId="0" xfId="0" applyNumberFormat="1"/>
    <xf numFmtId="0" fontId="2" fillId="6" borderId="0" xfId="0" applyFont="1" applyFill="1" applyAlignment="1">
      <alignment horizontal="left"/>
    </xf>
    <xf numFmtId="169" fontId="0" fillId="0" borderId="0" xfId="0" applyNumberFormat="1"/>
    <xf numFmtId="0" fontId="0" fillId="7" borderId="0" xfId="0" applyFill="1" applyAlignment="1">
      <alignment horizontal="left"/>
    </xf>
    <xf numFmtId="170" fontId="0" fillId="7" borderId="0" xfId="0" applyNumberFormat="1" applyFill="1" applyAlignment="1">
      <alignment horizontal="center"/>
    </xf>
    <xf numFmtId="169" fontId="0" fillId="7" borderId="0" xfId="0" applyNumberFormat="1" applyFill="1"/>
    <xf numFmtId="10" fontId="0" fillId="7" borderId="0" xfId="4" applyNumberFormat="1" applyFont="1" applyFill="1"/>
    <xf numFmtId="170" fontId="0" fillId="7" borderId="0" xfId="0" applyNumberFormat="1" applyFill="1"/>
    <xf numFmtId="0" fontId="0" fillId="8" borderId="0" xfId="0" applyFill="1"/>
    <xf numFmtId="0" fontId="1" fillId="8" borderId="0" xfId="0" applyFont="1" applyFill="1"/>
    <xf numFmtId="0" fontId="11" fillId="0" borderId="0" xfId="0" applyFont="1"/>
    <xf numFmtId="0" fontId="0" fillId="0" borderId="8" xfId="0" applyBorder="1"/>
    <xf numFmtId="0" fontId="0" fillId="0" borderId="9" xfId="0" applyBorder="1"/>
    <xf numFmtId="10" fontId="0" fillId="0" borderId="0" xfId="0" applyNumberFormat="1"/>
    <xf numFmtId="0" fontId="14" fillId="0" borderId="0" xfId="0" applyFont="1"/>
    <xf numFmtId="10" fontId="14" fillId="0" borderId="0" xfId="0" applyNumberFormat="1" applyFont="1"/>
    <xf numFmtId="10" fontId="0" fillId="9" borderId="0" xfId="4" applyNumberFormat="1" applyFont="1" applyFill="1"/>
    <xf numFmtId="2" fontId="14" fillId="0" borderId="0" xfId="0" applyNumberFormat="1" applyFont="1"/>
    <xf numFmtId="2" fontId="0" fillId="0" borderId="0" xfId="0" applyNumberFormat="1"/>
    <xf numFmtId="2" fontId="0" fillId="9" borderId="0" xfId="0" applyNumberFormat="1" applyFill="1"/>
    <xf numFmtId="0" fontId="1" fillId="0" borderId="8" xfId="0" applyFont="1" applyBorder="1"/>
    <xf numFmtId="0" fontId="1" fillId="0" borderId="9" xfId="0" applyFont="1" applyBorder="1"/>
    <xf numFmtId="10" fontId="0" fillId="0" borderId="8" xfId="0" applyNumberFormat="1" applyBorder="1"/>
    <xf numFmtId="10" fontId="0" fillId="0" borderId="9" xfId="0" applyNumberFormat="1" applyBorder="1"/>
    <xf numFmtId="2" fontId="0" fillId="0" borderId="8" xfId="0" applyNumberFormat="1" applyBorder="1"/>
    <xf numFmtId="2" fontId="0" fillId="10" borderId="8" xfId="0" applyNumberFormat="1" applyFill="1" applyBorder="1"/>
    <xf numFmtId="2" fontId="0" fillId="0" borderId="9" xfId="0" applyNumberFormat="1" applyBorder="1"/>
    <xf numFmtId="2" fontId="0" fillId="10" borderId="9" xfId="0" applyNumberFormat="1" applyFill="1" applyBorder="1"/>
    <xf numFmtId="10" fontId="0" fillId="0" borderId="6" xfId="0" applyNumberFormat="1" applyBorder="1"/>
    <xf numFmtId="10" fontId="0" fillId="9" borderId="6" xfId="0" applyNumberFormat="1" applyFill="1" applyBorder="1"/>
    <xf numFmtId="0" fontId="1" fillId="0" borderId="9" xfId="0" applyFont="1" applyBorder="1" applyAlignment="1">
      <alignment horizontal="right"/>
    </xf>
    <xf numFmtId="0" fontId="1" fillId="0" borderId="0" xfId="0" applyFont="1" applyAlignment="1">
      <alignment horizontal="right"/>
    </xf>
    <xf numFmtId="10" fontId="0" fillId="10" borderId="0" xfId="0" applyNumberFormat="1" applyFill="1"/>
    <xf numFmtId="10" fontId="0" fillId="9" borderId="0" xfId="0" applyNumberFormat="1" applyFill="1"/>
    <xf numFmtId="2" fontId="0" fillId="9" borderId="6" xfId="0" applyNumberFormat="1" applyFill="1" applyBorder="1"/>
    <xf numFmtId="169" fontId="14" fillId="0" borderId="0" xfId="0" applyNumberFormat="1" applyFont="1"/>
    <xf numFmtId="10" fontId="14" fillId="0" borderId="0" xfId="4" applyNumberFormat="1" applyFont="1"/>
    <xf numFmtId="0" fontId="15" fillId="0" borderId="0" xfId="0" applyFont="1"/>
    <xf numFmtId="0" fontId="15" fillId="0" borderId="0" xfId="0" applyFont="1" applyAlignment="1">
      <alignment vertical="top"/>
    </xf>
    <xf numFmtId="0" fontId="0" fillId="7" borderId="0" xfId="0" applyFill="1"/>
    <xf numFmtId="0" fontId="1" fillId="0" borderId="0" xfId="0" applyFont="1" applyAlignment="1">
      <alignment horizontal="left"/>
    </xf>
    <xf numFmtId="2" fontId="0" fillId="7" borderId="0" xfId="0" applyNumberFormat="1" applyFill="1"/>
    <xf numFmtId="10" fontId="0" fillId="0" borderId="0" xfId="4" applyNumberFormat="1" applyFont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0" xfId="0" applyFont="1" applyFill="1"/>
    <xf numFmtId="10" fontId="1" fillId="0" borderId="0" xfId="0" applyNumberFormat="1" applyFont="1"/>
    <xf numFmtId="10" fontId="3" fillId="0" borderId="0" xfId="4" applyNumberFormat="1" applyFont="1"/>
    <xf numFmtId="10" fontId="0" fillId="7" borderId="0" xfId="0" applyNumberFormat="1" applyFill="1"/>
    <xf numFmtId="0" fontId="1" fillId="7" borderId="0" xfId="0" applyFont="1" applyFill="1"/>
    <xf numFmtId="10" fontId="1" fillId="7" borderId="0" xfId="0" applyNumberFormat="1" applyFont="1" applyFill="1"/>
    <xf numFmtId="0" fontId="0" fillId="4" borderId="0" xfId="0" applyFill="1"/>
    <xf numFmtId="165" fontId="2" fillId="4" borderId="0" xfId="0" applyNumberFormat="1" applyFont="1" applyFill="1" applyAlignment="1">
      <alignment horizontal="center"/>
    </xf>
    <xf numFmtId="0" fontId="2" fillId="10" borderId="0" xfId="0" applyFont="1" applyFill="1"/>
    <xf numFmtId="165" fontId="2" fillId="10" borderId="0" xfId="0" applyNumberFormat="1" applyFont="1" applyFill="1" applyAlignment="1">
      <alignment horizontal="center"/>
    </xf>
    <xf numFmtId="10" fontId="1" fillId="0" borderId="0" xfId="4" applyNumberFormat="1" applyFont="1"/>
    <xf numFmtId="17" fontId="2" fillId="4" borderId="0" xfId="0" applyNumberFormat="1" applyFont="1" applyFill="1"/>
    <xf numFmtId="3" fontId="1" fillId="0" borderId="0" xfId="0" applyNumberFormat="1" applyFont="1"/>
    <xf numFmtId="0" fontId="1" fillId="0" borderId="13" xfId="0" applyFont="1" applyBorder="1"/>
    <xf numFmtId="3" fontId="1" fillId="0" borderId="13" xfId="0" applyNumberFormat="1" applyFont="1" applyBorder="1"/>
    <xf numFmtId="0" fontId="1" fillId="0" borderId="14" xfId="0" applyFont="1" applyBorder="1"/>
    <xf numFmtId="3" fontId="1" fillId="0" borderId="14" xfId="0" applyNumberFormat="1" applyFont="1" applyBorder="1"/>
    <xf numFmtId="172" fontId="0" fillId="0" borderId="0" xfId="0" applyNumberFormat="1"/>
    <xf numFmtId="172" fontId="0" fillId="0" borderId="1" xfId="0" applyNumberFormat="1" applyBorder="1"/>
    <xf numFmtId="172" fontId="1" fillId="0" borderId="1" xfId="0" applyNumberFormat="1" applyFont="1" applyBorder="1"/>
    <xf numFmtId="172" fontId="0" fillId="0" borderId="4" xfId="0" applyNumberFormat="1" applyBorder="1"/>
    <xf numFmtId="0" fontId="1" fillId="0" borderId="15" xfId="0" applyFont="1" applyBorder="1"/>
    <xf numFmtId="172" fontId="0" fillId="0" borderId="16" xfId="0" applyNumberFormat="1" applyBorder="1"/>
    <xf numFmtId="172" fontId="0" fillId="0" borderId="5" xfId="0" applyNumberFormat="1" applyBorder="1"/>
    <xf numFmtId="173" fontId="0" fillId="0" borderId="0" xfId="0" applyNumberFormat="1"/>
    <xf numFmtId="173" fontId="0" fillId="0" borderId="4" xfId="0" applyNumberFormat="1" applyBorder="1"/>
    <xf numFmtId="173" fontId="0" fillId="0" borderId="5" xfId="0" applyNumberFormat="1" applyBorder="1"/>
    <xf numFmtId="0" fontId="0" fillId="0" borderId="15" xfId="0" applyBorder="1"/>
    <xf numFmtId="173" fontId="1" fillId="0" borderId="15" xfId="0" applyNumberFormat="1" applyFont="1" applyBorder="1"/>
    <xf numFmtId="0" fontId="0" fillId="0" borderId="1" xfId="0" applyBorder="1"/>
    <xf numFmtId="173" fontId="0" fillId="0" borderId="1" xfId="0" applyNumberFormat="1" applyBorder="1"/>
    <xf numFmtId="173" fontId="5" fillId="0" borderId="0" xfId="0" applyNumberFormat="1" applyFont="1"/>
    <xf numFmtId="0" fontId="1" fillId="0" borderId="17" xfId="0" applyFont="1" applyBorder="1"/>
    <xf numFmtId="0" fontId="0" fillId="0" borderId="17" xfId="0" applyBorder="1"/>
    <xf numFmtId="173" fontId="0" fillId="0" borderId="17" xfId="0" applyNumberFormat="1" applyBorder="1"/>
    <xf numFmtId="173" fontId="1" fillId="0" borderId="17" xfId="0" applyNumberFormat="1" applyFont="1" applyBorder="1"/>
    <xf numFmtId="169" fontId="1" fillId="0" borderId="0" xfId="0" applyNumberFormat="1" applyFont="1"/>
    <xf numFmtId="10" fontId="1" fillId="0" borderId="17" xfId="4" applyNumberFormat="1" applyFont="1" applyBorder="1"/>
    <xf numFmtId="10" fontId="14" fillId="0" borderId="1" xfId="0" applyNumberFormat="1" applyFont="1" applyBorder="1"/>
    <xf numFmtId="10" fontId="0" fillId="0" borderId="1" xfId="0" applyNumberFormat="1" applyBorder="1"/>
    <xf numFmtId="10" fontId="1" fillId="0" borderId="17" xfId="0" applyNumberFormat="1" applyFont="1" applyBorder="1"/>
    <xf numFmtId="169" fontId="1" fillId="0" borderId="1" xfId="0" applyNumberFormat="1" applyFont="1" applyBorder="1"/>
    <xf numFmtId="172" fontId="1" fillId="0" borderId="17" xfId="0" applyNumberFormat="1" applyFont="1" applyBorder="1"/>
    <xf numFmtId="0" fontId="14" fillId="0" borderId="1" xfId="0" applyFont="1" applyBorder="1"/>
    <xf numFmtId="0" fontId="0" fillId="9" borderId="1" xfId="0" applyFill="1" applyBorder="1"/>
    <xf numFmtId="10" fontId="0" fillId="9" borderId="1" xfId="0" applyNumberFormat="1" applyFill="1" applyBorder="1"/>
    <xf numFmtId="0" fontId="0" fillId="9" borderId="0" xfId="0" applyFill="1"/>
    <xf numFmtId="0" fontId="0" fillId="9" borderId="17" xfId="0" applyFill="1" applyBorder="1"/>
    <xf numFmtId="174" fontId="0" fillId="0" borderId="1" xfId="0" applyNumberFormat="1" applyBorder="1"/>
    <xf numFmtId="0" fontId="5" fillId="0" borderId="0" xfId="0" applyFont="1"/>
    <xf numFmtId="0" fontId="2" fillId="0" borderId="0" xfId="0" applyFont="1"/>
    <xf numFmtId="43" fontId="1" fillId="0" borderId="17" xfId="0" applyNumberFormat="1" applyFont="1" applyBorder="1"/>
    <xf numFmtId="175" fontId="0" fillId="0" borderId="0" xfId="4" applyNumberFormat="1" applyFont="1"/>
    <xf numFmtId="169" fontId="0" fillId="9" borderId="1" xfId="0" applyNumberFormat="1" applyFill="1" applyBorder="1"/>
    <xf numFmtId="169" fontId="0" fillId="0" borderId="1" xfId="0" applyNumberFormat="1" applyBorder="1"/>
    <xf numFmtId="169" fontId="14" fillId="9" borderId="1" xfId="0" applyNumberFormat="1" applyFont="1" applyFill="1" applyBorder="1"/>
    <xf numFmtId="169" fontId="1" fillId="0" borderId="17" xfId="0" applyNumberFormat="1" applyFont="1" applyBorder="1"/>
    <xf numFmtId="0" fontId="1" fillId="4" borderId="0" xfId="0" applyFont="1" applyFill="1"/>
    <xf numFmtId="0" fontId="0" fillId="0" borderId="0" xfId="0" applyAlignment="1">
      <alignment horizontal="center"/>
    </xf>
    <xf numFmtId="0" fontId="1" fillId="11" borderId="0" xfId="0" applyFont="1" applyFill="1"/>
    <xf numFmtId="0" fontId="1" fillId="0" borderId="0" xfId="0" applyFont="1" applyAlignment="1">
      <alignment horizontal="center"/>
    </xf>
    <xf numFmtId="175" fontId="0" fillId="0" borderId="1" xfId="0" applyNumberFormat="1" applyBorder="1"/>
    <xf numFmtId="0" fontId="1" fillId="7" borderId="1" xfId="0" applyFont="1" applyFill="1" applyBorder="1"/>
    <xf numFmtId="0" fontId="0" fillId="7" borderId="1" xfId="0" applyFill="1" applyBorder="1"/>
    <xf numFmtId="175" fontId="1" fillId="7" borderId="1" xfId="0" applyNumberFormat="1" applyFont="1" applyFill="1" applyBorder="1"/>
    <xf numFmtId="4" fontId="0" fillId="0" borderId="0" xfId="0" applyNumberFormat="1"/>
    <xf numFmtId="0" fontId="1" fillId="7" borderId="17" xfId="0" applyFont="1" applyFill="1" applyBorder="1"/>
    <xf numFmtId="169" fontId="1" fillId="7" borderId="17" xfId="0" applyNumberFormat="1" applyFont="1" applyFill="1" applyBorder="1"/>
    <xf numFmtId="175" fontId="0" fillId="9" borderId="1" xfId="0" applyNumberFormat="1" applyFill="1" applyBorder="1"/>
    <xf numFmtId="0" fontId="1" fillId="9" borderId="1" xfId="0" applyFont="1" applyFill="1" applyBorder="1"/>
    <xf numFmtId="175" fontId="1" fillId="9" borderId="1" xfId="0" applyNumberFormat="1" applyFont="1" applyFill="1" applyBorder="1"/>
    <xf numFmtId="4" fontId="0" fillId="0" borderId="1" xfId="0" applyNumberFormat="1" applyBorder="1"/>
    <xf numFmtId="0" fontId="1" fillId="10" borderId="0" xfId="0" applyFont="1" applyFill="1"/>
    <xf numFmtId="169" fontId="1" fillId="10" borderId="0" xfId="0" applyNumberFormat="1" applyFont="1" applyFill="1"/>
    <xf numFmtId="169" fontId="5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left"/>
    </xf>
    <xf numFmtId="10" fontId="1" fillId="0" borderId="0" xfId="4" applyNumberFormat="1" applyFont="1" applyAlignment="1">
      <alignment horizontal="left"/>
    </xf>
    <xf numFmtId="0" fontId="0" fillId="0" borderId="10" xfId="0" applyBorder="1"/>
    <xf numFmtId="0" fontId="0" fillId="0" borderId="18" xfId="0" applyBorder="1"/>
    <xf numFmtId="166" fontId="1" fillId="0" borderId="17" xfId="0" applyNumberFormat="1" applyFont="1" applyBorder="1"/>
    <xf numFmtId="43" fontId="0" fillId="0" borderId="1" xfId="0" applyNumberFormat="1" applyBorder="1"/>
    <xf numFmtId="166" fontId="0" fillId="0" borderId="1" xfId="0" applyNumberFormat="1" applyBorder="1"/>
    <xf numFmtId="0" fontId="0" fillId="0" borderId="19" xfId="0" applyBorder="1"/>
    <xf numFmtId="0" fontId="0" fillId="0" borderId="20" xfId="0" applyBorder="1"/>
    <xf numFmtId="0" fontId="0" fillId="10" borderId="0" xfId="0" applyFill="1"/>
    <xf numFmtId="0" fontId="0" fillId="10" borderId="19" xfId="0" applyFill="1" applyBorder="1"/>
    <xf numFmtId="0" fontId="17" fillId="10" borderId="0" xfId="0" applyFont="1" applyFill="1" applyAlignment="1">
      <alignment horizontal="left"/>
    </xf>
    <xf numFmtId="0" fontId="0" fillId="10" borderId="0" xfId="0" applyFill="1" applyAlignment="1">
      <alignment horizontal="left"/>
    </xf>
    <xf numFmtId="0" fontId="18" fillId="10" borderId="0" xfId="0" applyFont="1" applyFill="1"/>
    <xf numFmtId="0" fontId="0" fillId="10" borderId="20" xfId="0" applyFill="1" applyBorder="1"/>
    <xf numFmtId="0" fontId="19" fillId="10" borderId="19" xfId="0" applyFont="1" applyFill="1" applyBorder="1"/>
    <xf numFmtId="0" fontId="19" fillId="10" borderId="20" xfId="0" applyFont="1" applyFill="1" applyBorder="1"/>
    <xf numFmtId="0" fontId="20" fillId="10" borderId="0" xfId="0" applyFont="1" applyFill="1"/>
    <xf numFmtId="0" fontId="21" fillId="0" borderId="0" xfId="0" applyFont="1"/>
    <xf numFmtId="0" fontId="16" fillId="0" borderId="19" xfId="0" applyFont="1" applyBorder="1"/>
    <xf numFmtId="0" fontId="16" fillId="0" borderId="0" xfId="0" applyFont="1"/>
    <xf numFmtId="0" fontId="16" fillId="0" borderId="20" xfId="0" applyFont="1" applyBorder="1"/>
    <xf numFmtId="174" fontId="0" fillId="0" borderId="0" xfId="0" applyNumberFormat="1"/>
    <xf numFmtId="169" fontId="5" fillId="0" borderId="0" xfId="0" applyNumberFormat="1" applyFont="1"/>
    <xf numFmtId="169" fontId="0" fillId="0" borderId="17" xfId="0" applyNumberFormat="1" applyBorder="1"/>
    <xf numFmtId="0" fontId="0" fillId="0" borderId="10" xfId="0" applyBorder="1" applyAlignment="1">
      <alignment horizontal="left"/>
    </xf>
    <xf numFmtId="4" fontId="0" fillId="0" borderId="0" xfId="0" applyNumberFormat="1" applyAlignment="1">
      <alignment horizontal="left"/>
    </xf>
    <xf numFmtId="176" fontId="0" fillId="0" borderId="0" xfId="0" applyNumberFormat="1"/>
    <xf numFmtId="176" fontId="1" fillId="0" borderId="0" xfId="0" applyNumberFormat="1" applyFont="1"/>
    <xf numFmtId="176" fontId="0" fillId="0" borderId="10" xfId="0" applyNumberFormat="1" applyBorder="1"/>
    <xf numFmtId="177" fontId="0" fillId="0" borderId="0" xfId="0" applyNumberFormat="1"/>
    <xf numFmtId="0" fontId="0" fillId="0" borderId="12" xfId="0" applyBorder="1"/>
    <xf numFmtId="0" fontId="7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Continuous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18" fillId="10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0" fillId="4" borderId="0" xfId="0" applyFill="1" applyAlignment="1">
      <alignment horizontal="left"/>
    </xf>
    <xf numFmtId="169" fontId="2" fillId="0" borderId="0" xfId="0" applyNumberFormat="1" applyFont="1"/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3333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Regression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'Forecasting '!$C$8:$C$22</c:f>
              <c:numCache>
                <c:formatCode>0"A"</c:formatCode>
                <c:ptCount val="1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 formatCode="0&quot;E&quot;">
                  <c:v>2026</c:v>
                </c:pt>
                <c:pt idx="11" formatCode="0&quot;E&quot;">
                  <c:v>2027</c:v>
                </c:pt>
                <c:pt idx="12" formatCode="0&quot;E&quot;">
                  <c:v>2028</c:v>
                </c:pt>
                <c:pt idx="13" formatCode="0&quot;E&quot;">
                  <c:v>2029</c:v>
                </c:pt>
                <c:pt idx="14" formatCode="0&quot;E&quot;">
                  <c:v>2030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6-40D4-91A5-FC6DF02A1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2016271"/>
        <c:axId val="1152016751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'Forecasting '!$D$8:$D$22</c:f>
              <c:numCache>
                <c:formatCode>#,##0.0</c:formatCode>
                <c:ptCount val="15"/>
                <c:pt idx="0">
                  <c:v>101965</c:v>
                </c:pt>
                <c:pt idx="1">
                  <c:v>112299</c:v>
                </c:pt>
                <c:pt idx="2">
                  <c:v>123249</c:v>
                </c:pt>
                <c:pt idx="3">
                  <c:v>157669</c:v>
                </c:pt>
                <c:pt idx="4">
                  <c:v>139817</c:v>
                </c:pt>
                <c:pt idx="5">
                  <c:v>156477</c:v>
                </c:pt>
                <c:pt idx="6">
                  <c:v>243959</c:v>
                </c:pt>
                <c:pt idx="7">
                  <c:v>243353</c:v>
                </c:pt>
                <c:pt idx="8">
                  <c:v>229171</c:v>
                </c:pt>
                <c:pt idx="9">
                  <c:v>218543</c:v>
                </c:pt>
                <c:pt idx="10">
                  <c:v>264095.40000000002</c:v>
                </c:pt>
                <c:pt idx="11">
                  <c:v>281824.09333333332</c:v>
                </c:pt>
                <c:pt idx="12">
                  <c:v>298591.304</c:v>
                </c:pt>
                <c:pt idx="13">
                  <c:v>313683.72604444443</c:v>
                </c:pt>
                <c:pt idx="14">
                  <c:v>332302.29663999996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B6-40D4-91A5-FC6DF02A1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9092815"/>
        <c:axId val="1079091855"/>
      </c:lineChart>
      <c:catAx>
        <c:axId val="1152016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016751"/>
        <c:crosses val="autoZero"/>
        <c:auto val="1"/>
        <c:lblAlgn val="ctr"/>
        <c:lblOffset val="100"/>
        <c:noMultiLvlLbl val="0"/>
      </c:catAx>
      <c:valAx>
        <c:axId val="115201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A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016271"/>
        <c:crosses val="autoZero"/>
        <c:crossBetween val="between"/>
      </c:valAx>
      <c:valAx>
        <c:axId val="1079091855"/>
        <c:scaling>
          <c:orientation val="minMax"/>
        </c:scaling>
        <c:delete val="0"/>
        <c:axPos val="r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092815"/>
        <c:crosses val="max"/>
        <c:crossBetween val="between"/>
      </c:valAx>
      <c:catAx>
        <c:axId val="1079092815"/>
        <c:scaling>
          <c:orientation val="minMax"/>
        </c:scaling>
        <c:delete val="1"/>
        <c:axPos val="b"/>
        <c:majorTickMark val="none"/>
        <c:minorTickMark val="none"/>
        <c:tickLblPos val="nextTo"/>
        <c:crossAx val="10790918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EBITDA</a:t>
            </a:r>
            <a:r>
              <a:rPr lang="en-IN" baseline="0"/>
              <a:t> Regression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'Forecasting '!$H$8:$H$22</c:f>
              <c:numCache>
                <c:formatCode>0"A"</c:formatCode>
                <c:ptCount val="1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 formatCode="0&quot;E&quot;">
                  <c:v>2026</c:v>
                </c:pt>
                <c:pt idx="11" formatCode="0&quot;E&quot;">
                  <c:v>2027</c:v>
                </c:pt>
                <c:pt idx="12" formatCode="0&quot;E&quot;">
                  <c:v>2028</c:v>
                </c:pt>
                <c:pt idx="13" formatCode="0&quot;E&quot;">
                  <c:v>2029</c:v>
                </c:pt>
                <c:pt idx="14" formatCode="0&quot;E&quot;">
                  <c:v>2030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C-46F4-AC9D-3E101771C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8599327"/>
        <c:axId val="1158604607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'Forecasting '!$I$8:$I$22</c:f>
              <c:numCache>
                <c:formatCode>#,##0.0</c:formatCode>
                <c:ptCount val="15"/>
                <c:pt idx="0">
                  <c:v>-625.23999999999432</c:v>
                </c:pt>
                <c:pt idx="1">
                  <c:v>13143.630000000001</c:v>
                </c:pt>
                <c:pt idx="2">
                  <c:v>21433.190000000002</c:v>
                </c:pt>
                <c:pt idx="3">
                  <c:v>29318.22</c:v>
                </c:pt>
                <c:pt idx="4">
                  <c:v>17463.060000000005</c:v>
                </c:pt>
                <c:pt idx="5">
                  <c:v>30504.259999999987</c:v>
                </c:pt>
                <c:pt idx="6">
                  <c:v>63489.950000000012</c:v>
                </c:pt>
                <c:pt idx="7">
                  <c:v>32300.160000000018</c:v>
                </c:pt>
                <c:pt idx="8">
                  <c:v>22247.920000000002</c:v>
                </c:pt>
                <c:pt idx="9">
                  <c:v>25298.44999999999</c:v>
                </c:pt>
                <c:pt idx="10">
                  <c:v>41021.842666666664</c:v>
                </c:pt>
                <c:pt idx="11">
                  <c:v>40292.275733333336</c:v>
                </c:pt>
                <c:pt idx="12">
                  <c:v>40166.108515555548</c:v>
                </c:pt>
                <c:pt idx="13">
                  <c:v>40390.114028444441</c:v>
                </c:pt>
                <c:pt idx="14">
                  <c:v>41557.535178785183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3C-46F4-AC9D-3E101771C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601247"/>
        <c:axId val="1158602207"/>
      </c:lineChart>
      <c:catAx>
        <c:axId val="1158599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604607"/>
        <c:crosses val="autoZero"/>
        <c:auto val="1"/>
        <c:lblAlgn val="ctr"/>
        <c:lblOffset val="100"/>
        <c:noMultiLvlLbl val="0"/>
      </c:catAx>
      <c:valAx>
        <c:axId val="115860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A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599327"/>
        <c:crosses val="autoZero"/>
        <c:crossBetween val="between"/>
      </c:valAx>
      <c:valAx>
        <c:axId val="1158602207"/>
        <c:scaling>
          <c:orientation val="minMax"/>
        </c:scaling>
        <c:delete val="0"/>
        <c:axPos val="r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601247"/>
        <c:crosses val="max"/>
        <c:crossBetween val="between"/>
      </c:valAx>
      <c:catAx>
        <c:axId val="1158601247"/>
        <c:scaling>
          <c:orientation val="minMax"/>
        </c:scaling>
        <c:delete val="1"/>
        <c:axPos val="b"/>
        <c:majorTickMark val="none"/>
        <c:minorTickMark val="none"/>
        <c:tickLblPos val="nextTo"/>
        <c:crossAx val="11586022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EBIT</a:t>
            </a:r>
            <a:r>
              <a:rPr lang="en-IN" baseline="0"/>
              <a:t> Regression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'Forecasting '!$M$8:$M$22</c:f>
              <c:numCache>
                <c:formatCode>0"A"</c:formatCode>
                <c:ptCount val="1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 formatCode="0&quot;E&quot;">
                  <c:v>2026</c:v>
                </c:pt>
                <c:pt idx="11" formatCode="0&quot;E&quot;">
                  <c:v>2027</c:v>
                </c:pt>
                <c:pt idx="12" formatCode="0&quot;E&quot;">
                  <c:v>2028</c:v>
                </c:pt>
                <c:pt idx="13" formatCode="0&quot;E&quot;">
                  <c:v>2029</c:v>
                </c:pt>
                <c:pt idx="14" formatCode="0&quot;E&quot;">
                  <c:v>2030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81-4E01-8E4A-27432BDC0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5994639"/>
        <c:axId val="1154892239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'Forecasting '!$N$8:$N$22</c:f>
              <c:numCache>
                <c:formatCode>#,##0.0</c:formatCode>
                <c:ptCount val="15"/>
                <c:pt idx="0">
                  <c:v>-10152.999999999995</c:v>
                </c:pt>
                <c:pt idx="1">
                  <c:v>2398.5500000000011</c:v>
                </c:pt>
                <c:pt idx="2">
                  <c:v>10236.750000000004</c:v>
                </c:pt>
                <c:pt idx="3">
                  <c:v>14316.29</c:v>
                </c:pt>
                <c:pt idx="4">
                  <c:v>1488.8700000000063</c:v>
                </c:pt>
                <c:pt idx="5">
                  <c:v>13663.909999999989</c:v>
                </c:pt>
                <c:pt idx="6">
                  <c:v>48926.880000000012</c:v>
                </c:pt>
                <c:pt idx="7">
                  <c:v>16666.260000000017</c:v>
                </c:pt>
                <c:pt idx="8">
                  <c:v>4858.1900000000023</c:v>
                </c:pt>
                <c:pt idx="9">
                  <c:v>7536.169999999991</c:v>
                </c:pt>
                <c:pt idx="10">
                  <c:v>21813.032666666666</c:v>
                </c:pt>
                <c:pt idx="11">
                  <c:v>20501.521066666664</c:v>
                </c:pt>
                <c:pt idx="12">
                  <c:v>19881.415982222221</c:v>
                </c:pt>
                <c:pt idx="13">
                  <c:v>19896.590792888885</c:v>
                </c:pt>
                <c:pt idx="14">
                  <c:v>20362.7351290074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81-4E01-8E4A-27432BDC0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4888879"/>
        <c:axId val="1154893199"/>
      </c:lineChart>
      <c:catAx>
        <c:axId val="1155994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892239"/>
        <c:crosses val="autoZero"/>
        <c:auto val="1"/>
        <c:lblAlgn val="ctr"/>
        <c:lblOffset val="100"/>
        <c:noMultiLvlLbl val="0"/>
      </c:catAx>
      <c:valAx>
        <c:axId val="115489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A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994639"/>
        <c:crosses val="autoZero"/>
        <c:crossBetween val="between"/>
      </c:valAx>
      <c:valAx>
        <c:axId val="1154893199"/>
        <c:scaling>
          <c:orientation val="minMax"/>
        </c:scaling>
        <c:delete val="0"/>
        <c:axPos val="r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888879"/>
        <c:crosses val="max"/>
        <c:crossBetween val="between"/>
      </c:valAx>
      <c:catAx>
        <c:axId val="1154888879"/>
        <c:scaling>
          <c:orientation val="minMax"/>
        </c:scaling>
        <c:delete val="1"/>
        <c:axPos val="b"/>
        <c:majorTickMark val="none"/>
        <c:minorTickMark val="none"/>
        <c:tickLblPos val="nextTo"/>
        <c:crossAx val="1154893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</a:t>
            </a:r>
            <a:r>
              <a:rPr lang="en-IN" baseline="0"/>
              <a:t> Profit Regression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'Forecasting '!$R$8:$R$22</c:f>
              <c:numCache>
                <c:formatCode>0"A"</c:formatCode>
                <c:ptCount val="1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 formatCode="0&quot;E&quot;">
                  <c:v>2026</c:v>
                </c:pt>
                <c:pt idx="11" formatCode="0&quot;E&quot;">
                  <c:v>2027</c:v>
                </c:pt>
                <c:pt idx="12" formatCode="0&quot;E&quot;">
                  <c:v>2028</c:v>
                </c:pt>
                <c:pt idx="13" formatCode="0&quot;E&quot;">
                  <c:v>2029</c:v>
                </c:pt>
                <c:pt idx="14" formatCode="0&quot;E&quot;">
                  <c:v>2030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4-4AAC-8406-B5DD2539E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1986319"/>
        <c:axId val="1061984399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'Forecasting '!$S$8:$S$22</c:f>
              <c:numCache>
                <c:formatCode>#,##0.0</c:formatCode>
                <c:ptCount val="15"/>
                <c:pt idx="0">
                  <c:v>-10842.959999999995</c:v>
                </c:pt>
                <c:pt idx="1">
                  <c:v>-379.45999999999913</c:v>
                </c:pt>
                <c:pt idx="2">
                  <c:v>6844.4200000000037</c:v>
                </c:pt>
                <c:pt idx="3">
                  <c:v>7597.8600000000006</c:v>
                </c:pt>
                <c:pt idx="4">
                  <c:v>4057.2800000000061</c:v>
                </c:pt>
                <c:pt idx="5">
                  <c:v>8010.0099999999893</c:v>
                </c:pt>
                <c:pt idx="6">
                  <c:v>40449.330000000016</c:v>
                </c:pt>
                <c:pt idx="7">
                  <c:v>6506.4900000000162</c:v>
                </c:pt>
                <c:pt idx="8">
                  <c:v>1095.6200000000022</c:v>
                </c:pt>
                <c:pt idx="9">
                  <c:v>2297.0799999999908</c:v>
                </c:pt>
                <c:pt idx="10">
                  <c:v>14210.347333333339</c:v>
                </c:pt>
                <c:pt idx="11">
                  <c:v>12627.318933333336</c:v>
                </c:pt>
                <c:pt idx="12">
                  <c:v>11531.125351111112</c:v>
                </c:pt>
                <c:pt idx="13">
                  <c:v>11055.703740444445</c:v>
                </c:pt>
                <c:pt idx="14">
                  <c:v>10278.583795437036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B4-4AAC-8406-B5DD2539E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7741375"/>
        <c:axId val="1107738015"/>
      </c:lineChart>
      <c:catAx>
        <c:axId val="1061986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984399"/>
        <c:crosses val="autoZero"/>
        <c:auto val="1"/>
        <c:lblAlgn val="ctr"/>
        <c:lblOffset val="100"/>
        <c:noMultiLvlLbl val="0"/>
      </c:catAx>
      <c:valAx>
        <c:axId val="106198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A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986319"/>
        <c:crosses val="autoZero"/>
        <c:crossBetween val="between"/>
      </c:valAx>
      <c:valAx>
        <c:axId val="1107738015"/>
        <c:scaling>
          <c:orientation val="minMax"/>
        </c:scaling>
        <c:delete val="0"/>
        <c:axPos val="r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741375"/>
        <c:crosses val="max"/>
        <c:crossBetween val="between"/>
      </c:valAx>
      <c:catAx>
        <c:axId val="1107741375"/>
        <c:scaling>
          <c:orientation val="minMax"/>
        </c:scaling>
        <c:delete val="1"/>
        <c:axPos val="b"/>
        <c:majorTickMark val="none"/>
        <c:minorTickMark val="none"/>
        <c:tickLblPos val="nextTo"/>
        <c:crossAx val="11077380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Football</a:t>
            </a:r>
            <a:r>
              <a:rPr lang="en-IN" baseline="0"/>
              <a:t> Field Analysis - Valuation Summary</a:t>
            </a:r>
            <a:endParaRPr lang="en-IN"/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tockChart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 analysis'!$L$10:$L$14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52W/L</c:v>
                </c:pt>
              </c:strCache>
            </c:strRef>
          </c:cat>
          <c:val>
            <c:numRef>
              <c:f>'Football field analysis'!$N$10:$N$14</c:f>
              <c:numCache>
                <c:formatCode>#,##0.0</c:formatCode>
                <c:ptCount val="5"/>
                <c:pt idx="0">
                  <c:v>125.2</c:v>
                </c:pt>
                <c:pt idx="1">
                  <c:v>121.2</c:v>
                </c:pt>
                <c:pt idx="2">
                  <c:v>121.2</c:v>
                </c:pt>
                <c:pt idx="3">
                  <c:v>210.7</c:v>
                </c:pt>
                <c:pt idx="4">
                  <c:v>125.3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76-40E3-B4D8-BCF8069D3E52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analysis'!$L$10:$L$14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52W/L</c:v>
                </c:pt>
              </c:strCache>
            </c:strRef>
          </c:cat>
          <c:val>
            <c:numRef>
              <c:f>'Football field analysis'!$O$10:$O$14</c:f>
              <c:numCache>
                <c:formatCode>#,##0.0</c:formatCode>
                <c:ptCount val="5"/>
                <c:pt idx="0">
                  <c:v>125.2</c:v>
                </c:pt>
                <c:pt idx="1">
                  <c:v>121.2</c:v>
                </c:pt>
                <c:pt idx="2">
                  <c:v>121.2</c:v>
                </c:pt>
                <c:pt idx="3">
                  <c:v>210.7</c:v>
                </c:pt>
                <c:pt idx="4" formatCode="General">
                  <c:v>125.3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76-40E3-B4D8-BCF8069D3E52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 analysis'!$L$10:$L$14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52W/L</c:v>
                </c:pt>
              </c:strCache>
            </c:strRef>
          </c:cat>
          <c:val>
            <c:numRef>
              <c:f>'Football field analysis'!$P$10:$P$14</c:f>
              <c:numCache>
                <c:formatCode>#,##0.0</c:formatCode>
                <c:ptCount val="5"/>
                <c:pt idx="0">
                  <c:v>211.6</c:v>
                </c:pt>
                <c:pt idx="1">
                  <c:v>153.5</c:v>
                </c:pt>
                <c:pt idx="2">
                  <c:v>219.4</c:v>
                </c:pt>
                <c:pt idx="3">
                  <c:v>303.8</c:v>
                </c:pt>
                <c:pt idx="4">
                  <c:v>216.45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76-40E3-B4D8-BCF8069D3E52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analysis'!$L$10:$L$14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52W/L</c:v>
                </c:pt>
              </c:strCache>
            </c:strRef>
          </c:cat>
          <c:val>
            <c:numRef>
              <c:f>'Football field analysis'!$Q$10:$Q$14</c:f>
              <c:numCache>
                <c:formatCode>#,##0.0</c:formatCode>
                <c:ptCount val="5"/>
                <c:pt idx="0">
                  <c:v>211.6</c:v>
                </c:pt>
                <c:pt idx="1">
                  <c:v>153.5</c:v>
                </c:pt>
                <c:pt idx="2">
                  <c:v>219.4</c:v>
                </c:pt>
                <c:pt idx="3">
                  <c:v>303.8</c:v>
                </c:pt>
                <c:pt idx="4" formatCode="General">
                  <c:v>216.45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76-40E3-B4D8-BCF8069D3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accent5">
                  <a:lumMod val="50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700200639"/>
        <c:axId val="700198719"/>
      </c:stockChart>
      <c:catAx>
        <c:axId val="70020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198719"/>
        <c:crosses val="autoZero"/>
        <c:auto val="1"/>
        <c:lblAlgn val="ctr"/>
        <c:lblOffset val="100"/>
        <c:noMultiLvlLbl val="0"/>
      </c:catAx>
      <c:valAx>
        <c:axId val="700198719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20063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106681</xdr:colOff>
      <xdr:row>5</xdr:row>
      <xdr:rowOff>50800</xdr:rowOff>
    </xdr:from>
    <xdr:to>
      <xdr:col>10</xdr:col>
      <xdr:colOff>510219</xdr:colOff>
      <xdr:row>13</xdr:row>
      <xdr:rowOff>58420</xdr:rowOff>
    </xdr:to>
    <xdr:pic>
      <xdr:nvPicPr>
        <xdr:cNvPr id="2" name="Picture 1" descr="TATA STEEL Logo Download png">
          <a:extLst>
            <a:ext uri="{FF2B5EF4-FFF2-40B4-BE49-F238E27FC236}">
              <a16:creationId xmlns:a16="http://schemas.microsoft.com/office/drawing/2014/main" id="{2477F348-DFBB-4B2A-C90E-5CAE91BAC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4681" y="965200"/>
          <a:ext cx="3451538" cy="1882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23</xdr:row>
      <xdr:rowOff>109538</xdr:rowOff>
    </xdr:from>
    <xdr:to>
      <xdr:col>5</xdr:col>
      <xdr:colOff>381000</xdr:colOff>
      <xdr:row>37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23E5D-21D9-4AF3-1ACC-64F5B3617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723900</xdr:colOff>
      <xdr:row>23</xdr:row>
      <xdr:rowOff>90489</xdr:rowOff>
    </xdr:from>
    <xdr:to>
      <xdr:col>10</xdr:col>
      <xdr:colOff>238125</xdr:colOff>
      <xdr:row>37</xdr:row>
      <xdr:rowOff>19051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C472CF-A901-DE7E-A35F-2675864A1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790575</xdr:colOff>
      <xdr:row>23</xdr:row>
      <xdr:rowOff>80963</xdr:rowOff>
    </xdr:from>
    <xdr:to>
      <xdr:col>15</xdr:col>
      <xdr:colOff>38100</xdr:colOff>
      <xdr:row>36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4BCC48-2A9E-8DEC-FFD4-679F40B58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566057</xdr:colOff>
      <xdr:row>23</xdr:row>
      <xdr:rowOff>54430</xdr:rowOff>
    </xdr:from>
    <xdr:to>
      <xdr:col>20</xdr:col>
      <xdr:colOff>32657</xdr:colOff>
      <xdr:row>36</xdr:row>
      <xdr:rowOff>119743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ED5F0F-74FA-CB1E-76B0-D3D6B3949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447674</xdr:colOff>
      <xdr:row>6</xdr:row>
      <xdr:rowOff>46945</xdr:rowOff>
    </xdr:from>
    <xdr:to>
      <xdr:col>9</xdr:col>
      <xdr:colOff>489857</xdr:colOff>
      <xdr:row>29</xdr:row>
      <xdr:rowOff>32657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837ECC-8108-3CF6-0B1E-B8FD5C831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6287-A322-4185-B9A7-0FB9AB33C06B}">
  <sheetPr>
    <pageSetUpPr fitToPage="1"/>
  </sheetPr>
  <dimension ref="B3:K39"/>
  <sheetViews>
    <sheetView showGridLines="0" tabSelected="1" zoomScale="50" zoomScaleNormal="50" workbookViewId="0">
      <selection activeCell="K40" sqref="K40"/>
    </sheetView>
  </sheetViews>
  <sheetFormatPr defaultRowHeight="14.4" x14ac:dyDescent="0.3"/>
  <sheetData>
    <row r="3" spans="2:11" x14ac:dyDescent="0.3">
      <c r="B3" s="186"/>
      <c r="C3" s="186"/>
      <c r="D3" s="186"/>
      <c r="E3" s="186"/>
      <c r="F3" s="186"/>
      <c r="G3" s="186"/>
      <c r="H3" s="186"/>
      <c r="I3" s="186"/>
      <c r="J3" s="186"/>
      <c r="K3" s="186"/>
    </row>
    <row r="4" spans="2:11" x14ac:dyDescent="0.3">
      <c r="B4" s="186"/>
      <c r="C4" s="186"/>
      <c r="D4" s="186"/>
      <c r="E4" s="186"/>
      <c r="F4" s="186"/>
      <c r="G4" s="186"/>
      <c r="H4" s="186"/>
      <c r="I4" s="186"/>
      <c r="J4" s="186"/>
      <c r="K4" s="186"/>
    </row>
    <row r="5" spans="2:11" x14ac:dyDescent="0.3">
      <c r="B5" s="186"/>
      <c r="C5" s="186"/>
      <c r="D5" s="186"/>
      <c r="E5" s="186"/>
      <c r="F5" s="186"/>
      <c r="G5" s="186"/>
      <c r="H5" s="186"/>
      <c r="I5" s="186"/>
      <c r="J5" s="186"/>
      <c r="K5" s="186"/>
    </row>
    <row r="6" spans="2:11" x14ac:dyDescent="0.3">
      <c r="B6" s="186"/>
      <c r="C6" s="186"/>
      <c r="D6" s="186"/>
      <c r="E6" s="186"/>
      <c r="F6" s="186"/>
      <c r="G6" s="186"/>
      <c r="H6" s="186"/>
      <c r="I6" s="186"/>
      <c r="J6" s="186"/>
      <c r="K6" s="186"/>
    </row>
    <row r="7" spans="2:11" x14ac:dyDescent="0.3">
      <c r="B7" s="186"/>
      <c r="C7" s="186"/>
      <c r="D7" s="186"/>
      <c r="E7" s="186"/>
      <c r="F7" s="186"/>
      <c r="G7" s="186"/>
      <c r="H7" s="186"/>
      <c r="I7" s="186"/>
      <c r="J7" s="186"/>
      <c r="K7" s="186"/>
    </row>
    <row r="8" spans="2:11" ht="15" thickBot="1" x14ac:dyDescent="0.35">
      <c r="B8" s="186"/>
      <c r="C8" s="186"/>
      <c r="D8" s="186"/>
      <c r="E8" s="186"/>
      <c r="F8" s="186"/>
      <c r="G8" s="186"/>
      <c r="H8" s="186"/>
      <c r="I8" s="186"/>
      <c r="J8" s="186"/>
      <c r="K8" s="186"/>
    </row>
    <row r="9" spans="2:11" ht="15" thickTop="1" x14ac:dyDescent="0.3">
      <c r="B9" s="187"/>
      <c r="C9" s="187"/>
      <c r="D9" s="187"/>
      <c r="E9" s="187"/>
      <c r="F9" s="186"/>
      <c r="G9" s="186"/>
      <c r="H9" s="186"/>
      <c r="I9" s="186"/>
      <c r="J9" s="186"/>
      <c r="K9" s="186"/>
    </row>
    <row r="10" spans="2:11" ht="28.8" x14ac:dyDescent="0.55000000000000004">
      <c r="B10" s="188" t="s">
        <v>33</v>
      </c>
      <c r="C10" s="189"/>
      <c r="D10" s="189"/>
      <c r="E10" s="189"/>
      <c r="F10" s="186"/>
      <c r="G10" s="186"/>
      <c r="H10" s="186"/>
      <c r="I10" s="186"/>
      <c r="J10" s="186"/>
      <c r="K10" s="186"/>
    </row>
    <row r="11" spans="2:11" ht="21" x14ac:dyDescent="0.4">
      <c r="B11" s="190" t="s">
        <v>400</v>
      </c>
      <c r="C11" s="186"/>
      <c r="D11" s="186"/>
      <c r="E11" s="186"/>
      <c r="F11" s="186"/>
      <c r="G11" s="186"/>
      <c r="H11" s="186"/>
      <c r="I11" s="186"/>
      <c r="J11" s="186"/>
      <c r="K11" s="186"/>
    </row>
    <row r="12" spans="2:11" ht="21" x14ac:dyDescent="0.4">
      <c r="B12" s="190" t="s">
        <v>401</v>
      </c>
      <c r="C12" s="186"/>
      <c r="D12" s="186"/>
      <c r="E12" s="186"/>
      <c r="F12" s="186"/>
      <c r="G12" s="186"/>
      <c r="H12" s="186"/>
      <c r="I12" s="186"/>
      <c r="J12" s="186"/>
      <c r="K12" s="186"/>
    </row>
    <row r="13" spans="2:11" ht="15" thickBot="1" x14ac:dyDescent="0.35">
      <c r="B13" s="191"/>
      <c r="C13" s="191"/>
      <c r="D13" s="191"/>
      <c r="E13" s="191"/>
      <c r="F13" s="186"/>
      <c r="G13" s="186"/>
      <c r="H13" s="186"/>
      <c r="I13" s="186"/>
      <c r="J13" s="186"/>
      <c r="K13" s="186"/>
    </row>
    <row r="14" spans="2:11" ht="15" thickTop="1" x14ac:dyDescent="0.3">
      <c r="B14" s="186"/>
      <c r="C14" s="186"/>
      <c r="D14" s="186"/>
      <c r="E14" s="186"/>
      <c r="F14" s="186"/>
      <c r="G14" s="186"/>
      <c r="H14" s="186"/>
      <c r="I14" s="186"/>
      <c r="J14" s="186"/>
      <c r="K14" s="186"/>
    </row>
    <row r="15" spans="2:11" x14ac:dyDescent="0.3">
      <c r="B15" s="186"/>
      <c r="C15" s="186"/>
      <c r="D15" s="186"/>
      <c r="E15" s="186"/>
      <c r="F15" s="186"/>
      <c r="G15" s="186"/>
      <c r="H15" s="186"/>
      <c r="I15" s="186"/>
      <c r="J15" s="186"/>
      <c r="K15" s="186"/>
    </row>
    <row r="16" spans="2:11" x14ac:dyDescent="0.3">
      <c r="B16" s="186"/>
      <c r="C16" s="186"/>
      <c r="D16" s="186"/>
      <c r="E16" s="186"/>
      <c r="F16" s="186"/>
      <c r="G16" s="186"/>
      <c r="H16" s="186"/>
      <c r="I16" s="186"/>
      <c r="J16" s="186"/>
      <c r="K16" s="186"/>
    </row>
    <row r="17" spans="2:11" x14ac:dyDescent="0.3">
      <c r="B17" s="186"/>
      <c r="C17" s="186"/>
      <c r="D17" s="186"/>
      <c r="E17" s="186"/>
      <c r="F17" s="186"/>
      <c r="G17" s="186"/>
      <c r="H17" s="186"/>
      <c r="I17" s="186"/>
      <c r="J17" s="186"/>
      <c r="K17" s="186"/>
    </row>
    <row r="18" spans="2:11" ht="15" thickBot="1" x14ac:dyDescent="0.35">
      <c r="B18" s="186"/>
      <c r="C18" s="186"/>
      <c r="D18" s="186"/>
      <c r="E18" s="186"/>
      <c r="F18" s="186"/>
      <c r="G18" s="186"/>
      <c r="H18" s="186"/>
      <c r="I18" s="186"/>
      <c r="J18" s="186"/>
      <c r="K18" s="186"/>
    </row>
    <row r="19" spans="2:11" ht="61.8" thickTop="1" x14ac:dyDescent="1.1000000000000001">
      <c r="B19" s="192" t="s">
        <v>404</v>
      </c>
      <c r="C19" s="187"/>
      <c r="D19" s="187"/>
      <c r="E19" s="187"/>
      <c r="F19" s="187"/>
      <c r="G19" s="187"/>
      <c r="H19" s="187"/>
      <c r="I19" s="187"/>
      <c r="J19" s="187"/>
      <c r="K19" s="186"/>
    </row>
    <row r="20" spans="2:11" ht="61.8" thickBot="1" x14ac:dyDescent="1.1499999999999999">
      <c r="B20" s="186"/>
      <c r="C20" s="186"/>
      <c r="D20" s="186"/>
      <c r="E20" s="186"/>
      <c r="F20" s="186"/>
      <c r="G20" s="193" t="s">
        <v>405</v>
      </c>
      <c r="H20" s="191"/>
      <c r="I20" s="191"/>
      <c r="J20" s="191"/>
      <c r="K20" s="186"/>
    </row>
    <row r="21" spans="2:11" ht="15" thickTop="1" x14ac:dyDescent="0.3">
      <c r="B21" s="186"/>
      <c r="C21" s="186"/>
      <c r="D21" s="186"/>
      <c r="E21" s="186"/>
      <c r="F21" s="186"/>
      <c r="G21" s="186"/>
      <c r="H21" s="186"/>
      <c r="I21" s="186"/>
      <c r="J21" s="186"/>
      <c r="K21" s="186"/>
    </row>
    <row r="22" spans="2:11" x14ac:dyDescent="0.3">
      <c r="B22" s="186"/>
      <c r="C22" s="186"/>
      <c r="D22" s="186"/>
      <c r="E22" s="186"/>
      <c r="F22" s="186"/>
      <c r="G22" s="186"/>
      <c r="H22" s="186"/>
      <c r="I22" s="186"/>
      <c r="J22" s="186"/>
      <c r="K22" s="186"/>
    </row>
    <row r="23" spans="2:11" x14ac:dyDescent="0.3">
      <c r="B23" s="186"/>
      <c r="C23" s="186"/>
      <c r="D23" s="186"/>
      <c r="E23" s="186"/>
      <c r="F23" s="186"/>
      <c r="G23" s="186"/>
      <c r="H23" s="186"/>
      <c r="I23" s="186"/>
      <c r="J23" s="186"/>
      <c r="K23" s="186"/>
    </row>
    <row r="24" spans="2:11" ht="21" x14ac:dyDescent="0.4">
      <c r="B24" s="194" t="s">
        <v>402</v>
      </c>
      <c r="C24" s="186"/>
      <c r="D24" s="186"/>
      <c r="E24" s="186"/>
      <c r="F24" s="186"/>
      <c r="G24" s="186"/>
      <c r="H24" s="186"/>
      <c r="I24" s="186"/>
      <c r="J24" s="186"/>
      <c r="K24" s="186"/>
    </row>
    <row r="25" spans="2:11" x14ac:dyDescent="0.3">
      <c r="B25" s="186"/>
      <c r="C25" s="186"/>
      <c r="D25" s="186"/>
      <c r="E25" s="186"/>
      <c r="F25" s="186"/>
      <c r="G25" s="186"/>
      <c r="H25" s="186"/>
      <c r="I25" s="186"/>
      <c r="J25" s="186"/>
      <c r="K25" s="186"/>
    </row>
    <row r="26" spans="2:11" x14ac:dyDescent="0.3">
      <c r="B26" s="186"/>
      <c r="C26" s="186"/>
      <c r="D26" s="186"/>
      <c r="E26" s="186"/>
      <c r="F26" s="186"/>
      <c r="G26" s="186"/>
      <c r="H26" s="186"/>
      <c r="I26" s="186"/>
      <c r="J26" s="186"/>
      <c r="K26" s="186"/>
    </row>
    <row r="27" spans="2:11" x14ac:dyDescent="0.3">
      <c r="B27" s="186"/>
      <c r="C27" s="186"/>
      <c r="D27" s="186"/>
      <c r="E27" s="186"/>
      <c r="F27" s="186"/>
      <c r="G27" s="186"/>
      <c r="H27" s="186"/>
      <c r="I27" s="186"/>
      <c r="J27" s="186"/>
      <c r="K27" s="186"/>
    </row>
    <row r="28" spans="2:11" x14ac:dyDescent="0.3">
      <c r="B28" s="186"/>
      <c r="C28" s="186"/>
      <c r="D28" s="186"/>
      <c r="E28" s="186"/>
      <c r="F28" s="186"/>
      <c r="G28" s="186"/>
      <c r="H28" s="186"/>
      <c r="I28" s="186"/>
      <c r="J28" s="186"/>
      <c r="K28" s="186"/>
    </row>
    <row r="29" spans="2:11" x14ac:dyDescent="0.3">
      <c r="B29" s="186"/>
      <c r="C29" s="186"/>
      <c r="D29" s="186"/>
      <c r="E29" s="186"/>
      <c r="F29" s="186"/>
      <c r="G29" s="186"/>
      <c r="H29" s="186"/>
      <c r="I29" s="186"/>
      <c r="J29" s="186"/>
      <c r="K29" s="186"/>
    </row>
    <row r="30" spans="2:11" x14ac:dyDescent="0.3">
      <c r="B30" s="186"/>
      <c r="C30" s="186"/>
      <c r="D30" s="186"/>
      <c r="E30" s="186"/>
      <c r="F30" s="186"/>
      <c r="G30" s="186"/>
      <c r="H30" s="186"/>
      <c r="I30" s="186"/>
      <c r="J30" s="186"/>
      <c r="K30" s="186"/>
    </row>
    <row r="31" spans="2:11" x14ac:dyDescent="0.3">
      <c r="B31" s="186"/>
      <c r="C31" s="186"/>
      <c r="D31" s="186"/>
      <c r="E31" s="186"/>
      <c r="F31" s="186"/>
      <c r="G31" s="186"/>
      <c r="H31" s="186"/>
      <c r="I31" s="186"/>
      <c r="J31" s="186"/>
      <c r="K31" s="186"/>
    </row>
    <row r="32" spans="2:11" x14ac:dyDescent="0.3">
      <c r="B32" s="186"/>
      <c r="C32" s="186"/>
      <c r="D32" s="186"/>
      <c r="E32" s="186"/>
      <c r="F32" s="186"/>
      <c r="G32" s="186"/>
      <c r="H32" s="186"/>
      <c r="I32" s="186"/>
      <c r="J32" s="186"/>
      <c r="K32" s="186"/>
    </row>
    <row r="33" spans="2:11" x14ac:dyDescent="0.3">
      <c r="B33" s="186"/>
      <c r="C33" s="186"/>
      <c r="D33" s="186"/>
      <c r="E33" s="186"/>
      <c r="F33" s="186"/>
      <c r="G33" s="186"/>
      <c r="H33" s="186"/>
      <c r="I33" s="186"/>
      <c r="J33" s="186"/>
      <c r="K33" s="186"/>
    </row>
    <row r="34" spans="2:11" x14ac:dyDescent="0.3">
      <c r="B34" s="186"/>
      <c r="C34" s="186"/>
      <c r="D34" s="186"/>
      <c r="E34" s="186"/>
      <c r="F34" s="186"/>
      <c r="G34" s="186"/>
      <c r="H34" s="186"/>
      <c r="I34" s="186"/>
      <c r="J34" s="186"/>
      <c r="K34" s="186"/>
    </row>
    <row r="35" spans="2:11" x14ac:dyDescent="0.3">
      <c r="B35" s="186"/>
      <c r="C35" s="186"/>
      <c r="D35" s="186"/>
      <c r="E35" s="186"/>
      <c r="F35" s="186"/>
      <c r="G35" s="186"/>
      <c r="H35" s="186"/>
      <c r="I35" s="186"/>
      <c r="J35" s="186"/>
      <c r="K35" s="186"/>
    </row>
    <row r="36" spans="2:11" ht="21" x14ac:dyDescent="0.4">
      <c r="B36" s="186"/>
      <c r="C36" s="186"/>
      <c r="D36" s="186"/>
      <c r="E36" s="186"/>
      <c r="F36" s="215" t="s">
        <v>403</v>
      </c>
      <c r="G36" s="215"/>
      <c r="H36" s="215"/>
      <c r="I36" s="215"/>
      <c r="J36" s="215"/>
      <c r="K36" s="186"/>
    </row>
    <row r="37" spans="2:11" x14ac:dyDescent="0.3">
      <c r="B37" s="186"/>
      <c r="C37" s="186"/>
      <c r="D37" s="186"/>
      <c r="E37" s="186"/>
      <c r="F37" s="186"/>
      <c r="G37" s="186"/>
      <c r="H37" s="186"/>
      <c r="I37" s="186"/>
      <c r="J37" s="186"/>
      <c r="K37" s="186"/>
    </row>
    <row r="38" spans="2:11" x14ac:dyDescent="0.3">
      <c r="B38" s="186"/>
      <c r="C38" s="186"/>
      <c r="D38" s="186"/>
      <c r="E38" s="186"/>
      <c r="F38" s="186"/>
      <c r="G38" s="186"/>
      <c r="H38" s="186"/>
      <c r="I38" s="186"/>
      <c r="J38" s="186"/>
      <c r="K38" s="186"/>
    </row>
    <row r="39" spans="2:11" x14ac:dyDescent="0.3">
      <c r="B39" s="186"/>
      <c r="C39" s="186"/>
      <c r="D39" s="186"/>
      <c r="E39" s="186"/>
      <c r="F39" s="186"/>
      <c r="G39" s="186"/>
      <c r="H39" s="186"/>
      <c r="I39" s="186"/>
      <c r="J39" s="186"/>
      <c r="K39" s="186"/>
    </row>
  </sheetData>
  <mergeCells count="1">
    <mergeCell ref="F36:J36"/>
  </mergeCells>
  <pageMargins left="0.7" right="0.7" top="0.75" bottom="0.75" header="0.3" footer="0.3"/>
  <pageSetup scale="92" orientation="portrait" r:id="rId1"/>
  <rowBreaks count="1" manualBreakCount="1">
    <brk id="2" max="16383" man="1"/>
  </rowBreaks>
  <colBreaks count="1" manualBreakCount="1">
    <brk id="1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8D9EE-F1AA-4FE6-99EA-603F1AA2D51B}">
  <sheetPr>
    <pageSetUpPr fitToPage="1"/>
  </sheetPr>
  <dimension ref="A2:J16"/>
  <sheetViews>
    <sheetView showGridLines="0" zoomScale="60" zoomScaleNormal="60" workbookViewId="0">
      <selection activeCell="R13" sqref="R13"/>
    </sheetView>
  </sheetViews>
  <sheetFormatPr defaultRowHeight="14.4" x14ac:dyDescent="0.3"/>
  <cols>
    <col min="2" max="2" width="8.88671875" style="160"/>
  </cols>
  <sheetData>
    <row r="2" spans="1:10" ht="61.2" x14ac:dyDescent="1.1000000000000001">
      <c r="C2" s="195" t="s">
        <v>406</v>
      </c>
    </row>
    <row r="3" spans="1:10" ht="15" thickBot="1" x14ac:dyDescent="0.35"/>
    <row r="4" spans="1:10" ht="29.4" thickTop="1" x14ac:dyDescent="0.55000000000000004">
      <c r="A4" s="162">
        <v>1</v>
      </c>
      <c r="B4" s="196" t="s">
        <v>407</v>
      </c>
      <c r="C4" s="196"/>
      <c r="D4" s="196"/>
      <c r="E4" s="196"/>
      <c r="F4" s="196"/>
      <c r="G4" s="184"/>
      <c r="H4" s="184"/>
      <c r="I4" s="184"/>
      <c r="J4" s="184"/>
    </row>
    <row r="5" spans="1:10" ht="28.8" x14ac:dyDescent="0.55000000000000004">
      <c r="A5" s="162">
        <f>1+A4</f>
        <v>2</v>
      </c>
      <c r="B5" s="197" t="s">
        <v>408</v>
      </c>
      <c r="C5" s="197"/>
      <c r="D5" s="197"/>
      <c r="E5" s="197"/>
      <c r="F5" s="197"/>
    </row>
    <row r="6" spans="1:10" ht="28.8" x14ac:dyDescent="0.55000000000000004">
      <c r="A6" s="162">
        <f t="shared" ref="A6:A15" si="0">1+A5</f>
        <v>3</v>
      </c>
      <c r="B6" s="197" t="s">
        <v>409</v>
      </c>
      <c r="C6" s="197"/>
      <c r="D6" s="197"/>
      <c r="E6" s="197"/>
      <c r="F6" s="197"/>
    </row>
    <row r="7" spans="1:10" ht="28.8" x14ac:dyDescent="0.55000000000000004">
      <c r="A7" s="162">
        <f t="shared" si="0"/>
        <v>4</v>
      </c>
      <c r="B7" s="197" t="s">
        <v>410</v>
      </c>
      <c r="C7" s="197"/>
      <c r="D7" s="197"/>
      <c r="E7" s="197"/>
      <c r="F7" s="197"/>
    </row>
    <row r="8" spans="1:10" ht="28.8" x14ac:dyDescent="0.55000000000000004">
      <c r="A8" s="162">
        <f t="shared" si="0"/>
        <v>5</v>
      </c>
      <c r="B8" s="197" t="s">
        <v>411</v>
      </c>
      <c r="C8" s="197"/>
      <c r="D8" s="197"/>
      <c r="E8" s="197"/>
      <c r="F8" s="197"/>
    </row>
    <row r="9" spans="1:10" ht="28.8" x14ac:dyDescent="0.55000000000000004">
      <c r="A9" s="162">
        <f t="shared" si="0"/>
        <v>6</v>
      </c>
      <c r="B9" s="197" t="s">
        <v>238</v>
      </c>
      <c r="C9" s="197"/>
      <c r="D9" s="197"/>
      <c r="E9" s="197"/>
      <c r="F9" s="197"/>
    </row>
    <row r="10" spans="1:10" ht="28.8" x14ac:dyDescent="0.55000000000000004">
      <c r="A10" s="162">
        <f t="shared" si="0"/>
        <v>7</v>
      </c>
      <c r="B10" s="197" t="s">
        <v>412</v>
      </c>
      <c r="C10" s="197"/>
      <c r="D10" s="197"/>
      <c r="E10" s="197"/>
      <c r="F10" s="197"/>
    </row>
    <row r="11" spans="1:10" ht="28.8" x14ac:dyDescent="0.55000000000000004">
      <c r="A11" s="162">
        <f t="shared" si="0"/>
        <v>8</v>
      </c>
      <c r="B11" s="197" t="s">
        <v>310</v>
      </c>
      <c r="C11" s="197"/>
      <c r="D11" s="197"/>
      <c r="E11" s="197"/>
      <c r="F11" s="197"/>
    </row>
    <row r="12" spans="1:10" ht="28.8" x14ac:dyDescent="0.55000000000000004">
      <c r="A12" s="162">
        <f t="shared" si="0"/>
        <v>9</v>
      </c>
      <c r="B12" s="197" t="s">
        <v>413</v>
      </c>
      <c r="C12" s="197"/>
      <c r="D12" s="197"/>
      <c r="E12" s="197"/>
      <c r="F12" s="197"/>
    </row>
    <row r="13" spans="1:10" ht="28.8" x14ac:dyDescent="0.55000000000000004">
      <c r="A13" s="162">
        <f t="shared" si="0"/>
        <v>10</v>
      </c>
      <c r="B13" s="197" t="s">
        <v>414</v>
      </c>
      <c r="C13" s="197"/>
      <c r="D13" s="197"/>
      <c r="E13" s="197"/>
      <c r="F13" s="197"/>
    </row>
    <row r="14" spans="1:10" ht="28.8" x14ac:dyDescent="0.55000000000000004">
      <c r="A14" s="162">
        <f t="shared" si="0"/>
        <v>11</v>
      </c>
      <c r="B14" s="197" t="s">
        <v>415</v>
      </c>
      <c r="C14" s="197"/>
      <c r="D14" s="197"/>
      <c r="E14" s="197"/>
      <c r="F14" s="197"/>
    </row>
    <row r="15" spans="1:10" ht="29.4" thickBot="1" x14ac:dyDescent="0.6">
      <c r="A15" s="162">
        <f t="shared" si="0"/>
        <v>12</v>
      </c>
      <c r="B15" s="198" t="s">
        <v>389</v>
      </c>
      <c r="C15" s="198"/>
      <c r="D15" s="198"/>
      <c r="E15" s="198"/>
      <c r="F15" s="198"/>
      <c r="G15" s="185"/>
      <c r="H15" s="185"/>
      <c r="I15" s="185"/>
      <c r="J15" s="185"/>
    </row>
    <row r="16" spans="1:10" ht="15" thickTop="1" x14ac:dyDescent="0.3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778B-08C7-4AB3-A7D9-5FD1F8BCB3F7}">
  <sheetPr>
    <pageSetUpPr autoPageBreaks="0" fitToPage="1"/>
  </sheetPr>
  <dimension ref="A2:M78"/>
  <sheetViews>
    <sheetView showGridLines="0" zoomScale="70" zoomScaleNormal="70" workbookViewId="0">
      <pane ySplit="3" topLeftCell="A12" activePane="bottomLeft" state="frozen"/>
      <selection activeCell="B1" sqref="B1"/>
      <selection pane="bottomLeft" activeCell="B27" sqref="B27"/>
    </sheetView>
  </sheetViews>
  <sheetFormatPr defaultRowHeight="14.4" x14ac:dyDescent="0.3"/>
  <cols>
    <col min="1" max="1" width="1.88671875" customWidth="1"/>
    <col min="2" max="2" width="32.77734375" customWidth="1"/>
    <col min="3" max="3" width="14.21875" customWidth="1"/>
    <col min="4" max="4" width="13" customWidth="1"/>
    <col min="5" max="12" width="12" bestFit="1" customWidth="1"/>
    <col min="13" max="13" width="12.77734375" customWidth="1"/>
  </cols>
  <sheetData>
    <row r="2" spans="1:13" x14ac:dyDescent="0.3">
      <c r="B2" s="214" t="s">
        <v>77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9"/>
    </row>
    <row r="3" spans="1:13" x14ac:dyDescent="0.3">
      <c r="B3" s="18" t="s">
        <v>55</v>
      </c>
      <c r="C3" s="19">
        <f>IFERROR('data sheet'!B16,0)</f>
        <v>42460</v>
      </c>
      <c r="D3" s="19">
        <f>IFERROR('data sheet'!C16,0)</f>
        <v>42825</v>
      </c>
      <c r="E3" s="19">
        <f>IFERROR('data sheet'!D16,0)</f>
        <v>43190</v>
      </c>
      <c r="F3" s="19">
        <f>IFERROR('data sheet'!E16,0)</f>
        <v>43555</v>
      </c>
      <c r="G3" s="19">
        <f>IFERROR('data sheet'!F16,0)</f>
        <v>43921</v>
      </c>
      <c r="H3" s="19">
        <f>IFERROR('data sheet'!G16,0)</f>
        <v>44286</v>
      </c>
      <c r="I3" s="19">
        <f>IFERROR('data sheet'!H16,0)</f>
        <v>44651</v>
      </c>
      <c r="J3" s="19">
        <f>IFERROR('data sheet'!I16,0)</f>
        <v>45016</v>
      </c>
      <c r="K3" s="19">
        <f>IFERROR('data sheet'!J16,0)</f>
        <v>45382</v>
      </c>
      <c r="L3" s="19">
        <f>IFERROR('data sheet'!K16,0)</f>
        <v>45747</v>
      </c>
      <c r="M3" s="9" t="s">
        <v>58</v>
      </c>
    </row>
    <row r="5" spans="1:13" x14ac:dyDescent="0.3">
      <c r="A5" t="s">
        <v>56</v>
      </c>
      <c r="B5" s="17" t="s">
        <v>57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20"/>
    </row>
    <row r="7" spans="1:13" x14ac:dyDescent="0.3">
      <c r="B7" t="s">
        <v>1</v>
      </c>
      <c r="C7" s="15">
        <f>IFERROR('data sheet'!B17,0)</f>
        <v>101964.72</v>
      </c>
      <c r="D7" s="15">
        <f>IFERROR('data sheet'!C17,0)</f>
        <v>112299.42</v>
      </c>
      <c r="E7" s="15">
        <f>IFERROR('data sheet'!D17,0)</f>
        <v>123249.07</v>
      </c>
      <c r="F7" s="15">
        <f>IFERROR('data sheet'!E17,0)</f>
        <v>157668.99</v>
      </c>
      <c r="G7" s="15">
        <f>IFERROR('data sheet'!F17,0)</f>
        <v>139816.65</v>
      </c>
      <c r="H7" s="15">
        <f>IFERROR('data sheet'!G17,0)</f>
        <v>156477.4</v>
      </c>
      <c r="I7" s="15">
        <f>IFERROR('data sheet'!H17,0)</f>
        <v>243959.17</v>
      </c>
      <c r="J7" s="15">
        <f>IFERROR('data sheet'!I17,0)</f>
        <v>243352.69</v>
      </c>
      <c r="K7" s="15">
        <f>IFERROR('data sheet'!J17,0)</f>
        <v>229170.78</v>
      </c>
      <c r="L7" s="15">
        <f>IFERROR('data sheet'!K17,0)</f>
        <v>218542.51</v>
      </c>
      <c r="M7" s="15">
        <f>IFERROR(SUM('data sheet'!H41:K41),0)</f>
        <v>225087.92</v>
      </c>
    </row>
    <row r="8" spans="1:13" x14ac:dyDescent="0.3">
      <c r="B8" s="12" t="s">
        <v>10</v>
      </c>
      <c r="C8" s="13" t="s">
        <v>78</v>
      </c>
      <c r="D8" s="14">
        <f>D7/C7-1</f>
        <v>0.10135564536439667</v>
      </c>
      <c r="E8" s="14">
        <f t="shared" ref="E8:M8" si="0">E7/D7-1</f>
        <v>9.7504065470685575E-2</v>
      </c>
      <c r="F8" s="14">
        <f t="shared" si="0"/>
        <v>0.27927123506895413</v>
      </c>
      <c r="G8" s="14">
        <f t="shared" si="0"/>
        <v>-0.11322670361495935</v>
      </c>
      <c r="H8" s="14">
        <f t="shared" si="0"/>
        <v>0.11916141604022124</v>
      </c>
      <c r="I8" s="14">
        <f t="shared" si="0"/>
        <v>0.55906968035000593</v>
      </c>
      <c r="J8" s="14">
        <f t="shared" si="0"/>
        <v>-2.4859897662383723E-3</v>
      </c>
      <c r="K8" s="14">
        <f t="shared" si="0"/>
        <v>-5.8277186087402622E-2</v>
      </c>
      <c r="L8" s="14">
        <f t="shared" si="0"/>
        <v>-4.6377073028245563E-2</v>
      </c>
      <c r="M8" s="14">
        <f t="shared" si="0"/>
        <v>2.9950282899194214E-2</v>
      </c>
    </row>
    <row r="10" spans="1:13" x14ac:dyDescent="0.3">
      <c r="B10" t="s">
        <v>59</v>
      </c>
      <c r="C10" s="15">
        <f>IFERROR(SUM('data sheet'!B18,'data sheet'!B20:B22)-1*'data sheet'!B19,0)</f>
        <v>79237.259999999995</v>
      </c>
      <c r="D10" s="15">
        <f>IFERROR(SUM('data sheet'!C18,'data sheet'!C20:C22)-1*'data sheet'!C19,0)</f>
        <v>77577.09</v>
      </c>
      <c r="E10" s="15">
        <f>IFERROR(SUM('data sheet'!D18,'data sheet'!D20:D22)-1*'data sheet'!D19,0)</f>
        <v>84710.05</v>
      </c>
      <c r="F10" s="15">
        <f>IFERROR(SUM('data sheet'!E18,'data sheet'!E20:E22)-1*'data sheet'!E19,0)</f>
        <v>105590.04999999999</v>
      </c>
      <c r="G10" s="15">
        <f>IFERROR(SUM('data sheet'!F18,'data sheet'!F20:F22)-1*'data sheet'!F19,0)</f>
        <v>102560.93999999999</v>
      </c>
      <c r="H10" s="15">
        <f>IFERROR(SUM('data sheet'!G18,'data sheet'!G20:G22)-1*'data sheet'!G19,0)</f>
        <v>102979.74</v>
      </c>
      <c r="I10" s="15">
        <f>IFERROR(SUM('data sheet'!H18,'data sheet'!H20:H22)-1*'data sheet'!H19,0)</f>
        <v>143605.19</v>
      </c>
      <c r="J10" s="15">
        <f>IFERROR(SUM('data sheet'!I18,'data sheet'!I20:I22)-1*'data sheet'!I19,0)</f>
        <v>178329.36</v>
      </c>
      <c r="K10" s="15">
        <f>IFERROR(SUM('data sheet'!J18,'data sheet'!J20:J22)-1*'data sheet'!J19,0)</f>
        <v>183154.84</v>
      </c>
      <c r="L10" s="15">
        <f>IFERROR(SUM('data sheet'!K18,'data sheet'!K20:K22)-1*'data sheet'!K19,0)</f>
        <v>171714.99000000002</v>
      </c>
      <c r="M10" s="15">
        <f>IFERROR(SUM('data sheet'!H42:K42),0)</f>
        <v>194004.91999999998</v>
      </c>
    </row>
    <row r="11" spans="1:13" x14ac:dyDescent="0.3">
      <c r="B11" s="12" t="s">
        <v>60</v>
      </c>
      <c r="C11" s="14">
        <f>C10/C7</f>
        <v>0.77710466914438636</v>
      </c>
      <c r="D11" s="14">
        <f t="shared" ref="D11:M11" si="1">D10/D7</f>
        <v>0.69080579401033415</v>
      </c>
      <c r="E11" s="14">
        <f t="shared" si="1"/>
        <v>0.68730782309351302</v>
      </c>
      <c r="F11" s="14">
        <f t="shared" si="1"/>
        <v>0.66969446560163792</v>
      </c>
      <c r="G11" s="14">
        <f t="shared" si="1"/>
        <v>0.73353881672890886</v>
      </c>
      <c r="H11" s="14">
        <f t="shared" si="1"/>
        <v>0.65811254532603436</v>
      </c>
      <c r="I11" s="14">
        <f t="shared" si="1"/>
        <v>0.58864436208731152</v>
      </c>
      <c r="J11" s="14">
        <f t="shared" si="1"/>
        <v>0.73280209066108937</v>
      </c>
      <c r="K11" s="14">
        <f t="shared" si="1"/>
        <v>0.79920677496494097</v>
      </c>
      <c r="L11" s="14">
        <f t="shared" si="1"/>
        <v>0.78572809473086047</v>
      </c>
      <c r="M11" s="14">
        <f t="shared" si="1"/>
        <v>0.86190729382545261</v>
      </c>
    </row>
    <row r="13" spans="1:13" x14ac:dyDescent="0.3">
      <c r="B13" s="21" t="s">
        <v>61</v>
      </c>
      <c r="C13" s="22">
        <f>C7-'HISTORICAL(FS)'!C10</f>
        <v>22727.460000000006</v>
      </c>
      <c r="D13" s="22">
        <f>D7-'HISTORICAL(FS)'!D10</f>
        <v>34722.33</v>
      </c>
      <c r="E13" s="22">
        <f>E7-'HISTORICAL(FS)'!E10</f>
        <v>38539.020000000004</v>
      </c>
      <c r="F13" s="22">
        <f>F7-'HISTORICAL(FS)'!F10</f>
        <v>52078.94</v>
      </c>
      <c r="G13" s="22">
        <f>G7-'HISTORICAL(FS)'!G10</f>
        <v>37255.710000000006</v>
      </c>
      <c r="H13" s="22">
        <f>H7-'HISTORICAL(FS)'!H10</f>
        <v>53497.659999999989</v>
      </c>
      <c r="I13" s="22">
        <f>I7-'HISTORICAL(FS)'!I10</f>
        <v>100353.98000000001</v>
      </c>
      <c r="J13" s="22">
        <f>J7-'HISTORICAL(FS)'!J10</f>
        <v>65023.330000000016</v>
      </c>
      <c r="K13" s="22">
        <f>K7-'HISTORICAL(FS)'!K10</f>
        <v>46015.94</v>
      </c>
      <c r="L13" s="22">
        <f>L7-'HISTORICAL(FS)'!L10</f>
        <v>46827.51999999999</v>
      </c>
      <c r="M13" s="22">
        <f>M7-'HISTORICAL(FS)'!M10</f>
        <v>31083.000000000029</v>
      </c>
    </row>
    <row r="14" spans="1:13" x14ac:dyDescent="0.3">
      <c r="B14" s="12" t="s">
        <v>66</v>
      </c>
      <c r="C14" s="14">
        <f>C13/C7</f>
        <v>0.22289533085561364</v>
      </c>
      <c r="D14" s="14">
        <f t="shared" ref="D14:M14" si="2">D13/D7</f>
        <v>0.30919420598966585</v>
      </c>
      <c r="E14" s="14">
        <f t="shared" si="2"/>
        <v>0.31269217690648704</v>
      </c>
      <c r="F14" s="14">
        <f t="shared" si="2"/>
        <v>0.33030553439836208</v>
      </c>
      <c r="G14" s="14">
        <f t="shared" si="2"/>
        <v>0.26646118327109114</v>
      </c>
      <c r="H14" s="14">
        <f t="shared" si="2"/>
        <v>0.34188745467396564</v>
      </c>
      <c r="I14" s="14">
        <f t="shared" si="2"/>
        <v>0.41135563791268842</v>
      </c>
      <c r="J14" s="14">
        <f t="shared" si="2"/>
        <v>0.26719790933891058</v>
      </c>
      <c r="K14" s="14">
        <f t="shared" si="2"/>
        <v>0.20079322503505903</v>
      </c>
      <c r="L14" s="14">
        <f t="shared" si="2"/>
        <v>0.21427190526913958</v>
      </c>
      <c r="M14" s="14">
        <f t="shared" si="2"/>
        <v>0.13809270617454739</v>
      </c>
    </row>
    <row r="16" spans="1:13" x14ac:dyDescent="0.3">
      <c r="B16" t="s">
        <v>62</v>
      </c>
      <c r="C16" s="15">
        <f>IFERROR(SUM('data sheet'!B23:B24),0)</f>
        <v>23352.7</v>
      </c>
      <c r="D16" s="15">
        <f>IFERROR(SUM('data sheet'!C23:C24),0)</f>
        <v>21578.7</v>
      </c>
      <c r="E16" s="15">
        <f>IFERROR(SUM('data sheet'!D23:D24),0)</f>
        <v>17105.830000000002</v>
      </c>
      <c r="F16" s="15">
        <f>IFERROR(SUM('data sheet'!E23:E24),0)</f>
        <v>22760.720000000001</v>
      </c>
      <c r="G16" s="15">
        <f>IFERROR(SUM('data sheet'!F23:F24),0)</f>
        <v>19792.650000000001</v>
      </c>
      <c r="H16" s="15">
        <f>IFERROR(SUM('data sheet'!G23:G24),0)</f>
        <v>22993.4</v>
      </c>
      <c r="I16" s="15">
        <f>IFERROR(SUM('data sheet'!H23:H24),0)</f>
        <v>36864.03</v>
      </c>
      <c r="J16" s="15">
        <f>IFERROR(SUM('data sheet'!I23:I24),0)</f>
        <v>32723.17</v>
      </c>
      <c r="K16" s="15">
        <f>IFERROR(SUM('data sheet'!J23:J24),0)</f>
        <v>23768.02</v>
      </c>
      <c r="L16" s="15">
        <f>IFERROR(SUM('data sheet'!K23:K24),0)</f>
        <v>21529.07</v>
      </c>
    </row>
    <row r="17" spans="2:13" x14ac:dyDescent="0.3">
      <c r="B17" s="12" t="s">
        <v>64</v>
      </c>
      <c r="C17" s="14">
        <f>C16/C7</f>
        <v>0.22902725570177607</v>
      </c>
      <c r="D17" s="14">
        <f t="shared" ref="D17:M17" si="3">D16/D7</f>
        <v>0.19215326312460029</v>
      </c>
      <c r="E17" s="14">
        <f t="shared" si="3"/>
        <v>0.13879074300520078</v>
      </c>
      <c r="F17" s="14">
        <f t="shared" si="3"/>
        <v>0.14435761908540165</v>
      </c>
      <c r="G17" s="14">
        <f t="shared" si="3"/>
        <v>0.14156146639187825</v>
      </c>
      <c r="H17" s="14">
        <f t="shared" si="3"/>
        <v>0.14694390372028165</v>
      </c>
      <c r="I17" s="14">
        <f t="shared" si="3"/>
        <v>0.15110737587769296</v>
      </c>
      <c r="J17" s="14">
        <f t="shared" si="3"/>
        <v>0.13446808416212699</v>
      </c>
      <c r="K17" s="14">
        <f t="shared" si="3"/>
        <v>0.10371313480715125</v>
      </c>
      <c r="L17" s="14">
        <f t="shared" si="3"/>
        <v>9.8512046923960012E-2</v>
      </c>
      <c r="M17" s="14">
        <f t="shared" si="3"/>
        <v>0</v>
      </c>
    </row>
    <row r="19" spans="2:13" x14ac:dyDescent="0.3">
      <c r="B19" s="25" t="s">
        <v>63</v>
      </c>
      <c r="C19" s="26">
        <f>IFERROR(C13-C16,0)</f>
        <v>-625.23999999999432</v>
      </c>
      <c r="D19" s="26">
        <f t="shared" ref="D19:L19" si="4">IFERROR(D13-D16,0)</f>
        <v>13143.630000000001</v>
      </c>
      <c r="E19" s="26">
        <f t="shared" si="4"/>
        <v>21433.190000000002</v>
      </c>
      <c r="F19" s="26">
        <f t="shared" si="4"/>
        <v>29318.22</v>
      </c>
      <c r="G19" s="26">
        <f t="shared" si="4"/>
        <v>17463.060000000005</v>
      </c>
      <c r="H19" s="26">
        <f t="shared" si="4"/>
        <v>30504.259999999987</v>
      </c>
      <c r="I19" s="26">
        <f t="shared" si="4"/>
        <v>63489.950000000012</v>
      </c>
      <c r="J19" s="26">
        <f t="shared" si="4"/>
        <v>32300.160000000018</v>
      </c>
      <c r="K19" s="26">
        <f t="shared" si="4"/>
        <v>22247.920000000002</v>
      </c>
      <c r="L19" s="26">
        <f t="shared" si="4"/>
        <v>25298.44999999999</v>
      </c>
      <c r="M19" s="26">
        <f>IFERROR(SUM('data sheet'!H51:K51),0)</f>
        <v>31974.760000000002</v>
      </c>
    </row>
    <row r="20" spans="2:13" x14ac:dyDescent="0.3">
      <c r="B20" s="12" t="s">
        <v>79</v>
      </c>
      <c r="C20" s="14">
        <f>C19/C7</f>
        <v>-6.1319248461624209E-3</v>
      </c>
      <c r="D20" s="14">
        <f t="shared" ref="D20:M20" si="5">D19/D7</f>
        <v>0.11704094286506557</v>
      </c>
      <c r="E20" s="14">
        <f t="shared" si="5"/>
        <v>0.17390143390128623</v>
      </c>
      <c r="F20" s="14">
        <f t="shared" si="5"/>
        <v>0.18594791531296043</v>
      </c>
      <c r="G20" s="14">
        <f t="shared" si="5"/>
        <v>0.12489971687921292</v>
      </c>
      <c r="H20" s="14">
        <f t="shared" si="5"/>
        <v>0.19494355095368399</v>
      </c>
      <c r="I20" s="14">
        <f t="shared" si="5"/>
        <v>0.26024826203499546</v>
      </c>
      <c r="J20" s="14">
        <f t="shared" si="5"/>
        <v>0.13272982517678361</v>
      </c>
      <c r="K20" s="14">
        <f t="shared" si="5"/>
        <v>9.708009022790777E-2</v>
      </c>
      <c r="L20" s="14">
        <f t="shared" si="5"/>
        <v>0.11575985834517957</v>
      </c>
      <c r="M20" s="14">
        <f t="shared" si="5"/>
        <v>0.142054535845371</v>
      </c>
    </row>
    <row r="22" spans="2:13" x14ac:dyDescent="0.3">
      <c r="B22" t="s">
        <v>6</v>
      </c>
      <c r="C22" s="15">
        <f>IFERROR('data sheet'!B27,0)</f>
        <v>4221.41</v>
      </c>
      <c r="D22" s="15">
        <f>IFERROR('data sheet'!C27,0)</f>
        <v>5072.2</v>
      </c>
      <c r="E22" s="15">
        <f>IFERROR('data sheet'!D27,0)</f>
        <v>5454.74</v>
      </c>
      <c r="F22" s="15">
        <f>IFERROR('data sheet'!E27,0)</f>
        <v>7660.1</v>
      </c>
      <c r="G22" s="15">
        <f>IFERROR('data sheet'!F27,0)</f>
        <v>7533.46</v>
      </c>
      <c r="H22" s="15">
        <f>IFERROR('data sheet'!G27,0)</f>
        <v>7606.71</v>
      </c>
      <c r="I22" s="15">
        <f>IFERROR('data sheet'!H27,0)</f>
        <v>5462.2</v>
      </c>
      <c r="J22" s="15">
        <f>IFERROR('data sheet'!I27,0)</f>
        <v>6298.7</v>
      </c>
      <c r="K22" s="15">
        <f>IFERROR('data sheet'!J27,0)</f>
        <v>7507.57</v>
      </c>
      <c r="L22" s="15">
        <f>IFERROR('data sheet'!K27,0)</f>
        <v>7340.95</v>
      </c>
      <c r="M22" s="15">
        <f>IFERROR('data sheet'!L27,0)</f>
        <v>0</v>
      </c>
    </row>
    <row r="23" spans="2:13" x14ac:dyDescent="0.3">
      <c r="B23" s="12" t="s">
        <v>80</v>
      </c>
      <c r="C23" s="14">
        <f>C22/C7</f>
        <v>4.140069231789191E-2</v>
      </c>
      <c r="D23" s="14">
        <f t="shared" ref="D23:M23" si="6">D22/D7</f>
        <v>4.5166751529081804E-2</v>
      </c>
      <c r="E23" s="14">
        <f t="shared" si="6"/>
        <v>4.4257859308796402E-2</v>
      </c>
      <c r="F23" s="14">
        <f t="shared" si="6"/>
        <v>4.8583427850968038E-2</v>
      </c>
      <c r="G23" s="14">
        <f t="shared" si="6"/>
        <v>5.3880993429609426E-2</v>
      </c>
      <c r="H23" s="14">
        <f t="shared" si="6"/>
        <v>4.8612195754786314E-2</v>
      </c>
      <c r="I23" s="14">
        <f t="shared" si="6"/>
        <v>2.2389812196852446E-2</v>
      </c>
      <c r="J23" s="14">
        <f t="shared" si="6"/>
        <v>2.5883009552925013E-2</v>
      </c>
      <c r="K23" s="14">
        <f t="shared" si="6"/>
        <v>3.2759717447398834E-2</v>
      </c>
      <c r="L23" s="14">
        <f t="shared" si="6"/>
        <v>3.3590490014963219E-2</v>
      </c>
      <c r="M23" s="14">
        <f t="shared" si="6"/>
        <v>0</v>
      </c>
    </row>
    <row r="25" spans="2:13" x14ac:dyDescent="0.3">
      <c r="B25" t="s">
        <v>5</v>
      </c>
      <c r="C25" s="15">
        <f>IFERROR('data sheet'!B26,0)</f>
        <v>5306.35</v>
      </c>
      <c r="D25" s="15">
        <f>IFERROR('data sheet'!C26,0)</f>
        <v>5672.88</v>
      </c>
      <c r="E25" s="15">
        <f>IFERROR('data sheet'!D26,0)</f>
        <v>5741.7</v>
      </c>
      <c r="F25" s="15">
        <f>IFERROR('data sheet'!E26,0)</f>
        <v>7341.83</v>
      </c>
      <c r="G25" s="15">
        <f>IFERROR('data sheet'!F26,0)</f>
        <v>8440.73</v>
      </c>
      <c r="H25" s="15">
        <f>IFERROR('data sheet'!G26,0)</f>
        <v>9233.64</v>
      </c>
      <c r="I25" s="15">
        <f>IFERROR('data sheet'!H26,0)</f>
        <v>9100.8700000000008</v>
      </c>
      <c r="J25" s="15">
        <f>IFERROR('data sheet'!I26,0)</f>
        <v>9335.2000000000007</v>
      </c>
      <c r="K25" s="15">
        <f>IFERROR('data sheet'!J26,0)</f>
        <v>9882.16</v>
      </c>
      <c r="L25" s="15">
        <f>IFERROR('data sheet'!K26,0)</f>
        <v>10421.33</v>
      </c>
      <c r="M25" s="15">
        <f>IFERROR(SUM('data sheet'!H44:K44),0)</f>
        <v>11406.08</v>
      </c>
    </row>
    <row r="26" spans="2:13" x14ac:dyDescent="0.3">
      <c r="B26" s="12" t="s">
        <v>65</v>
      </c>
      <c r="C26" s="14">
        <f>C25/C7</f>
        <v>5.2041039292806381E-2</v>
      </c>
      <c r="D26" s="14">
        <f t="shared" ref="D26:M26" si="7">D25/D7</f>
        <v>5.0515666064882614E-2</v>
      </c>
      <c r="E26" s="14">
        <f t="shared" si="7"/>
        <v>4.6586152739326953E-2</v>
      </c>
      <c r="F26" s="14">
        <f t="shared" si="7"/>
        <v>4.6564831803641286E-2</v>
      </c>
      <c r="G26" s="14">
        <f t="shared" si="7"/>
        <v>6.0369991699844042E-2</v>
      </c>
      <c r="H26" s="14">
        <f t="shared" si="7"/>
        <v>5.9009416056248376E-2</v>
      </c>
      <c r="I26" s="14">
        <f t="shared" si="7"/>
        <v>3.7304889994501947E-2</v>
      </c>
      <c r="J26" s="14">
        <f t="shared" si="7"/>
        <v>3.8360784094887142E-2</v>
      </c>
      <c r="K26" s="14">
        <f t="shared" si="7"/>
        <v>4.3121378737725639E-2</v>
      </c>
      <c r="L26" s="14">
        <f t="shared" si="7"/>
        <v>4.768559672898421E-2</v>
      </c>
      <c r="M26" s="14">
        <f t="shared" si="7"/>
        <v>5.0673887785715022E-2</v>
      </c>
    </row>
    <row r="28" spans="2:13" x14ac:dyDescent="0.3">
      <c r="B28" s="25" t="s">
        <v>81</v>
      </c>
      <c r="C28" s="26">
        <f>IFERROR(C19-SUM(C22,C25),0)</f>
        <v>-10152.999999999995</v>
      </c>
      <c r="D28" s="26">
        <f t="shared" ref="D28:M28" si="8">IFERROR(D19-SUM(D22,D25),0)</f>
        <v>2398.5500000000011</v>
      </c>
      <c r="E28" s="26">
        <f t="shared" si="8"/>
        <v>10236.750000000004</v>
      </c>
      <c r="F28" s="26">
        <f t="shared" si="8"/>
        <v>14316.29</v>
      </c>
      <c r="G28" s="26">
        <f t="shared" si="8"/>
        <v>1488.8700000000063</v>
      </c>
      <c r="H28" s="26">
        <f t="shared" si="8"/>
        <v>13663.909999999989</v>
      </c>
      <c r="I28" s="26">
        <f t="shared" si="8"/>
        <v>48926.880000000012</v>
      </c>
      <c r="J28" s="26">
        <f t="shared" si="8"/>
        <v>16666.260000000017</v>
      </c>
      <c r="K28" s="26">
        <f t="shared" si="8"/>
        <v>4858.1900000000023</v>
      </c>
      <c r="L28" s="26">
        <f t="shared" si="8"/>
        <v>7536.169999999991</v>
      </c>
      <c r="M28" s="26">
        <f t="shared" si="8"/>
        <v>20568.68</v>
      </c>
    </row>
    <row r="29" spans="2:13" x14ac:dyDescent="0.3">
      <c r="B29" s="12" t="s">
        <v>67</v>
      </c>
      <c r="C29" s="14">
        <f>C28/C7</f>
        <v>-9.9573656456860712E-2</v>
      </c>
      <c r="D29" s="14">
        <f t="shared" ref="D29:M29" si="9">D28/D7</f>
        <v>2.1358525271101145E-2</v>
      </c>
      <c r="E29" s="14">
        <f t="shared" si="9"/>
        <v>8.3057421853162894E-2</v>
      </c>
      <c r="F29" s="14">
        <f t="shared" si="9"/>
        <v>9.0799655658351089E-2</v>
      </c>
      <c r="G29" s="14">
        <f t="shared" si="9"/>
        <v>1.0648731749759463E-2</v>
      </c>
      <c r="H29" s="14">
        <f t="shared" si="9"/>
        <v>8.7321939142649282E-2</v>
      </c>
      <c r="I29" s="14">
        <f t="shared" si="9"/>
        <v>0.20055355984364109</v>
      </c>
      <c r="J29" s="14">
        <f t="shared" si="9"/>
        <v>6.8486031528971453E-2</v>
      </c>
      <c r="K29" s="14">
        <f t="shared" si="9"/>
        <v>2.11989940427833E-2</v>
      </c>
      <c r="L29" s="14">
        <f t="shared" si="9"/>
        <v>3.4483771601232137E-2</v>
      </c>
      <c r="M29" s="14">
        <f t="shared" si="9"/>
        <v>9.1380648059655969E-2</v>
      </c>
    </row>
    <row r="31" spans="2:13" x14ac:dyDescent="0.3">
      <c r="B31" t="s">
        <v>8</v>
      </c>
      <c r="C31" s="15">
        <f>IFERROR('data sheet'!B29,0)</f>
        <v>689.96</v>
      </c>
      <c r="D31" s="15">
        <f>IFERROR('data sheet'!C29,0)</f>
        <v>2778.01</v>
      </c>
      <c r="E31" s="15">
        <f>IFERROR('data sheet'!D29,0)</f>
        <v>3392.33</v>
      </c>
      <c r="F31" s="15">
        <f>IFERROR('data sheet'!E29,0)</f>
        <v>6718.43</v>
      </c>
      <c r="G31" s="15">
        <f>IFERROR('data sheet'!F29,0)</f>
        <v>-2568.41</v>
      </c>
      <c r="H31" s="15">
        <f>IFERROR('data sheet'!G29,0)</f>
        <v>5653.9</v>
      </c>
      <c r="I31" s="15">
        <f>IFERROR('data sheet'!H29,0)</f>
        <v>8477.5499999999993</v>
      </c>
      <c r="J31" s="15">
        <f>IFERROR('data sheet'!I29,0)</f>
        <v>10159.77</v>
      </c>
      <c r="K31" s="15">
        <f>IFERROR('data sheet'!J29,0)</f>
        <v>3762.57</v>
      </c>
      <c r="L31" s="15">
        <f>IFERROR('data sheet'!K29,0)</f>
        <v>5239.09</v>
      </c>
      <c r="M31" s="15">
        <f>IFERROR(SUM('data sheet'!H47:K47),0)</f>
        <v>4236.3099999999995</v>
      </c>
    </row>
    <row r="32" spans="2:13" x14ac:dyDescent="0.3">
      <c r="B32" s="12" t="s">
        <v>68</v>
      </c>
      <c r="C32" s="14">
        <f>C31/C28</f>
        <v>-6.795626908302968E-2</v>
      </c>
      <c r="D32" s="14">
        <f t="shared" ref="D32:M32" si="10">D31/D28</f>
        <v>1.1582039148652306</v>
      </c>
      <c r="E32" s="14">
        <f t="shared" si="10"/>
        <v>0.33138740322856364</v>
      </c>
      <c r="F32" s="14">
        <f t="shared" si="10"/>
        <v>0.46928568784231112</v>
      </c>
      <c r="G32" s="14">
        <f t="shared" si="10"/>
        <v>-1.7250733777965765</v>
      </c>
      <c r="H32" s="14">
        <f t="shared" si="10"/>
        <v>0.41378346315220199</v>
      </c>
      <c r="I32" s="14">
        <f t="shared" si="10"/>
        <v>0.17326978544309379</v>
      </c>
      <c r="J32" s="14">
        <f t="shared" si="10"/>
        <v>0.60960107426621146</v>
      </c>
      <c r="K32" s="14">
        <f t="shared" si="10"/>
        <v>0.77447979597339711</v>
      </c>
      <c r="L32" s="14">
        <f t="shared" si="10"/>
        <v>0.69519265090888427</v>
      </c>
      <c r="M32" s="14">
        <f t="shared" si="10"/>
        <v>0.20595925455595593</v>
      </c>
    </row>
    <row r="34" spans="1:13" x14ac:dyDescent="0.3">
      <c r="B34" s="23" t="s">
        <v>69</v>
      </c>
      <c r="C34" s="24">
        <f>IFERROR(C28-C31,0)</f>
        <v>-10842.959999999995</v>
      </c>
      <c r="D34" s="24">
        <f t="shared" ref="D34:M34" si="11">IFERROR(D28-D31,0)</f>
        <v>-379.45999999999913</v>
      </c>
      <c r="E34" s="24">
        <f t="shared" si="11"/>
        <v>6844.4200000000037</v>
      </c>
      <c r="F34" s="24">
        <f t="shared" si="11"/>
        <v>7597.8600000000006</v>
      </c>
      <c r="G34" s="24">
        <f t="shared" si="11"/>
        <v>4057.2800000000061</v>
      </c>
      <c r="H34" s="24">
        <f t="shared" si="11"/>
        <v>8010.0099999999893</v>
      </c>
      <c r="I34" s="24">
        <f t="shared" si="11"/>
        <v>40449.330000000016</v>
      </c>
      <c r="J34" s="24">
        <f t="shared" si="11"/>
        <v>6506.4900000000162</v>
      </c>
      <c r="K34" s="24">
        <f t="shared" si="11"/>
        <v>1095.6200000000022</v>
      </c>
      <c r="L34" s="24">
        <f t="shared" si="11"/>
        <v>2297.0799999999908</v>
      </c>
      <c r="M34" s="24">
        <f t="shared" si="11"/>
        <v>16332.37</v>
      </c>
    </row>
    <row r="35" spans="1:13" x14ac:dyDescent="0.3">
      <c r="B35" s="12" t="s">
        <v>70</v>
      </c>
      <c r="C35" s="14">
        <f>C34/C7</f>
        <v>-0.1063403106486243</v>
      </c>
      <c r="D35" s="14">
        <f t="shared" ref="D35:M35" si="12">D34/D7</f>
        <v>-3.3790023136361625E-3</v>
      </c>
      <c r="E35" s="14">
        <f t="shared" si="12"/>
        <v>5.5533238506383892E-2</v>
      </c>
      <c r="F35" s="14">
        <f t="shared" si="12"/>
        <v>4.8188676796876807E-2</v>
      </c>
      <c r="G35" s="14">
        <f t="shared" si="12"/>
        <v>2.9018575398566667E-2</v>
      </c>
      <c r="H35" s="14">
        <f t="shared" si="12"/>
        <v>5.1189564755038039E-2</v>
      </c>
      <c r="I35" s="14">
        <f t="shared" si="12"/>
        <v>0.16580368755968475</v>
      </c>
      <c r="J35" s="14">
        <f t="shared" si="12"/>
        <v>2.6736873136680824E-2</v>
      </c>
      <c r="K35" s="14">
        <f t="shared" si="12"/>
        <v>4.7808014616872278E-3</v>
      </c>
      <c r="L35" s="14">
        <f t="shared" si="12"/>
        <v>1.0510907008435067E-2</v>
      </c>
      <c r="M35" s="14">
        <f t="shared" si="12"/>
        <v>7.2559957904449066E-2</v>
      </c>
    </row>
    <row r="37" spans="1:13" x14ac:dyDescent="0.3">
      <c r="B37" t="s">
        <v>82</v>
      </c>
      <c r="C37" s="15">
        <f>IFERROR('data sheet'!B93,0)</f>
        <v>1126.6199999999999</v>
      </c>
      <c r="D37" s="15">
        <f>IFERROR('data sheet'!C93,0)</f>
        <v>1126.6199999999999</v>
      </c>
      <c r="E37" s="15">
        <f>IFERROR('data sheet'!D93,0)</f>
        <v>1126.48</v>
      </c>
      <c r="F37" s="15">
        <f>IFERROR('data sheet'!E93,0)</f>
        <v>1126.49</v>
      </c>
      <c r="G37" s="15">
        <f>IFERROR('data sheet'!F93,0)</f>
        <v>1126.49</v>
      </c>
      <c r="H37" s="15">
        <f>IFERROR('data sheet'!G93,0)</f>
        <v>1196.5899999999999</v>
      </c>
      <c r="I37" s="15">
        <f>IFERROR('data sheet'!H93,0)</f>
        <v>1221.3</v>
      </c>
      <c r="J37" s="15">
        <f>IFERROR('data sheet'!I93,0)</f>
        <v>1222.1500000000001</v>
      </c>
      <c r="K37" s="15">
        <f>IFERROR('data sheet'!J93,0)</f>
        <v>1248.3499999999999</v>
      </c>
      <c r="L37" s="15">
        <f>IFERROR('data sheet'!K93,0)</f>
        <v>1248.3499999999999</v>
      </c>
      <c r="M37" s="15">
        <f>IFERROR('data sheet'!L93,0)</f>
        <v>0</v>
      </c>
    </row>
    <row r="39" spans="1:13" x14ac:dyDescent="0.3">
      <c r="B39" t="s">
        <v>83</v>
      </c>
      <c r="C39" s="15">
        <f>IFERROR(C34/C37,0)</f>
        <v>-9.6243276348724471</v>
      </c>
      <c r="D39" s="15">
        <f t="shared" ref="D39:M39" si="13">IFERROR(D34/D37,0)</f>
        <v>-0.33681276739273153</v>
      </c>
      <c r="E39" s="15">
        <f t="shared" si="13"/>
        <v>6.0759356579788397</v>
      </c>
      <c r="F39" s="15">
        <f t="shared" si="13"/>
        <v>6.7447203259682738</v>
      </c>
      <c r="G39" s="15">
        <f t="shared" si="13"/>
        <v>3.6017008584186332</v>
      </c>
      <c r="H39" s="15">
        <f t="shared" si="13"/>
        <v>6.6940305367753279</v>
      </c>
      <c r="I39" s="15">
        <f t="shared" si="13"/>
        <v>33.119896831245406</v>
      </c>
      <c r="J39" s="15">
        <f t="shared" si="13"/>
        <v>5.3238064067422295</v>
      </c>
      <c r="K39" s="15">
        <f t="shared" si="13"/>
        <v>0.8776545039452095</v>
      </c>
      <c r="L39" s="15">
        <f t="shared" si="13"/>
        <v>1.8400929226579013</v>
      </c>
      <c r="M39" s="15">
        <f t="shared" si="13"/>
        <v>0</v>
      </c>
    </row>
    <row r="40" spans="1:13" x14ac:dyDescent="0.3">
      <c r="B40" s="12" t="s">
        <v>84</v>
      </c>
      <c r="C40" s="14"/>
      <c r="D40" s="14">
        <f>IFERROR(D39/C39-1,0)</f>
        <v>-0.96500402104222471</v>
      </c>
      <c r="E40" s="14">
        <f t="shared" ref="E40:M40" si="14">IFERROR(E39/D39-1,0)</f>
        <v>-19.039505167849406</v>
      </c>
      <c r="F40" s="14">
        <f t="shared" si="14"/>
        <v>0.11007105829226393</v>
      </c>
      <c r="G40" s="14">
        <f t="shared" si="14"/>
        <v>-0.46599700441966474</v>
      </c>
      <c r="H40" s="14">
        <f t="shared" si="14"/>
        <v>0.85857482337231539</v>
      </c>
      <c r="I40" s="14">
        <f t="shared" si="14"/>
        <v>3.9476763885812867</v>
      </c>
      <c r="J40" s="14">
        <f t="shared" si="14"/>
        <v>-0.83925655222090745</v>
      </c>
      <c r="K40" s="14">
        <f t="shared" si="14"/>
        <v>-0.83514530076944171</v>
      </c>
      <c r="L40" s="14">
        <f t="shared" si="14"/>
        <v>1.0966028367499554</v>
      </c>
      <c r="M40" s="14">
        <f t="shared" si="14"/>
        <v>-1</v>
      </c>
    </row>
    <row r="42" spans="1:13" x14ac:dyDescent="0.3">
      <c r="B42" t="s">
        <v>71</v>
      </c>
      <c r="C42" s="15">
        <f>IFERROR('data sheet'!B31/'HISTORICAL(FS)'!C37,0)</f>
        <v>0.68895457208286748</v>
      </c>
      <c r="D42" s="15">
        <f>IFERROR('data sheet'!C31/'HISTORICAL(FS)'!D37,0)</f>
        <v>0.86119543413040789</v>
      </c>
      <c r="E42" s="15">
        <f>IFERROR('data sheet'!D31/'HISTORICAL(FS)'!E37,0)</f>
        <v>1.0163962076557063</v>
      </c>
      <c r="F42" s="15">
        <f>IFERROR('data sheet'!E31/'HISTORICAL(FS)'!F37,0)</f>
        <v>1.3212900247671973</v>
      </c>
      <c r="G42" s="15">
        <f>IFERROR('data sheet'!F31/'HISTORICAL(FS)'!G37,0)</f>
        <v>1.0163871849727917</v>
      </c>
      <c r="H42" s="15">
        <f>IFERROR('data sheet'!G31/'HISTORICAL(FS)'!H37,0)</f>
        <v>2.5021268772094034</v>
      </c>
      <c r="I42" s="15">
        <f>IFERROR('data sheet'!H31/'HISTORICAL(FS)'!I37,0)</f>
        <v>5.0996233521657253</v>
      </c>
      <c r="J42" s="15">
        <f>IFERROR('data sheet'!I31/'HISTORICAL(FS)'!J37,0)</f>
        <v>3.5973162050484797</v>
      </c>
      <c r="K42" s="15">
        <f>IFERROR('data sheet'!J31/'HISTORICAL(FS)'!K37,0)</f>
        <v>3.5973725317418994</v>
      </c>
      <c r="L42" s="15">
        <f>IFERROR('data sheet'!K31/'HISTORICAL(FS)'!L37,0)</f>
        <v>3.5973725317418994</v>
      </c>
      <c r="M42" s="15">
        <f>IFERROR('data sheet'!L31/'HISTORICAL(FS)'!M37,0)</f>
        <v>0</v>
      </c>
    </row>
    <row r="43" spans="1:13" x14ac:dyDescent="0.3">
      <c r="B43" s="12" t="s">
        <v>72</v>
      </c>
      <c r="C43" s="14">
        <f>IFERROR(C42/C39,0)</f>
        <v>-7.1584696429757233E-2</v>
      </c>
      <c r="D43" s="14">
        <f t="shared" ref="D43:M43" si="15">IFERROR(D42/D39,0)</f>
        <v>-2.5568966425973811</v>
      </c>
      <c r="E43" s="14">
        <f t="shared" si="15"/>
        <v>0.16728225328077462</v>
      </c>
      <c r="F43" s="14">
        <f t="shared" si="15"/>
        <v>0.19589989812921005</v>
      </c>
      <c r="G43" s="14">
        <f t="shared" si="15"/>
        <v>0.28219644688066842</v>
      </c>
      <c r="H43" s="14">
        <f t="shared" si="15"/>
        <v>0.3737848017667898</v>
      </c>
      <c r="I43" s="14">
        <f t="shared" si="15"/>
        <v>0.15397461465987194</v>
      </c>
      <c r="J43" s="14">
        <f t="shared" si="15"/>
        <v>0.6757037972854778</v>
      </c>
      <c r="K43" s="14">
        <f t="shared" si="15"/>
        <v>4.0988481407787285</v>
      </c>
      <c r="L43" s="14">
        <f t="shared" si="15"/>
        <v>1.9549950371776419</v>
      </c>
      <c r="M43" s="14">
        <f t="shared" si="15"/>
        <v>0</v>
      </c>
    </row>
    <row r="45" spans="1:13" x14ac:dyDescent="0.3">
      <c r="B45" t="s">
        <v>73</v>
      </c>
      <c r="C45" s="10">
        <f>IFERROR(IF(C39&gt;C42,1-C43,0),0)</f>
        <v>0</v>
      </c>
      <c r="D45" s="10">
        <f t="shared" ref="D45:M45" si="16">IFERROR(IF(D39&gt;D42,1-D43,0),0)</f>
        <v>0</v>
      </c>
      <c r="E45" s="10">
        <f t="shared" si="16"/>
        <v>0.83271774671922538</v>
      </c>
      <c r="F45" s="10">
        <f t="shared" si="16"/>
        <v>0.80410010187078995</v>
      </c>
      <c r="G45" s="10">
        <f t="shared" si="16"/>
        <v>0.71780355311933164</v>
      </c>
      <c r="H45" s="10">
        <f t="shared" si="16"/>
        <v>0.62621519823321026</v>
      </c>
      <c r="I45" s="10">
        <f t="shared" si="16"/>
        <v>0.84602538534012806</v>
      </c>
      <c r="J45" s="10">
        <f t="shared" si="16"/>
        <v>0.3242962027145222</v>
      </c>
      <c r="K45" s="10">
        <f t="shared" si="16"/>
        <v>0</v>
      </c>
      <c r="L45" s="10">
        <f t="shared" si="16"/>
        <v>0</v>
      </c>
      <c r="M45" s="10">
        <f t="shared" si="16"/>
        <v>0</v>
      </c>
    </row>
    <row r="48" spans="1:13" x14ac:dyDescent="0.3">
      <c r="A48" t="s">
        <v>56</v>
      </c>
      <c r="B48" s="16" t="s">
        <v>85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50" spans="2:12" x14ac:dyDescent="0.3">
      <c r="B50" t="s">
        <v>11</v>
      </c>
      <c r="C50" s="15">
        <f>IFERROR('data sheet'!B56,0)</f>
        <v>970.24</v>
      </c>
      <c r="D50" s="15">
        <f>IFERROR('data sheet'!C56,0)</f>
        <v>970.24</v>
      </c>
      <c r="E50" s="15">
        <f>IFERROR('data sheet'!D56,0)</f>
        <v>1144.95</v>
      </c>
      <c r="F50" s="15">
        <f>IFERROR('data sheet'!E56,0)</f>
        <v>1144.94</v>
      </c>
      <c r="G50" s="15">
        <f>IFERROR('data sheet'!F56,0)</f>
        <v>1144.95</v>
      </c>
      <c r="H50" s="15">
        <f>IFERROR('data sheet'!G56,0)</f>
        <v>1197.6099999999999</v>
      </c>
      <c r="I50" s="15">
        <f>IFERROR('data sheet'!H56,0)</f>
        <v>1221.21</v>
      </c>
      <c r="J50" s="15">
        <f>IFERROR('data sheet'!I56,0)</f>
        <v>1221.24</v>
      </c>
      <c r="K50" s="15">
        <f>IFERROR('data sheet'!J56,0)</f>
        <v>1247.44</v>
      </c>
      <c r="L50" s="15">
        <f>IFERROR('data sheet'!K56,0)</f>
        <v>1247.44</v>
      </c>
    </row>
    <row r="51" spans="2:12" x14ac:dyDescent="0.3">
      <c r="B51" t="s">
        <v>12</v>
      </c>
      <c r="C51" s="15">
        <f>IFERROR('data sheet'!B57,0)</f>
        <v>42762.31</v>
      </c>
      <c r="D51" s="15">
        <f>IFERROR('data sheet'!C57,0)</f>
        <v>36849.08</v>
      </c>
      <c r="E51" s="15">
        <f>IFERROR('data sheet'!D57,0)</f>
        <v>59725.67</v>
      </c>
      <c r="F51" s="15">
        <f>IFERROR('data sheet'!E57,0)</f>
        <v>67780.14</v>
      </c>
      <c r="G51" s="15">
        <f>IFERROR('data sheet'!F57,0)</f>
        <v>72431.350000000006</v>
      </c>
      <c r="H51" s="15">
        <f>IFERROR('data sheet'!G57,0)</f>
        <v>73041.16</v>
      </c>
      <c r="I51" s="15">
        <f>IFERROR('data sheet'!H57,0)</f>
        <v>113221.83</v>
      </c>
      <c r="J51" s="15">
        <f>IFERROR('data sheet'!I57,0)</f>
        <v>101860.86</v>
      </c>
      <c r="K51" s="15">
        <f>IFERROR('data sheet'!J57,0)</f>
        <v>90788.32</v>
      </c>
      <c r="L51" s="15">
        <f>IFERROR('data sheet'!K57,0)</f>
        <v>89922.19</v>
      </c>
    </row>
    <row r="52" spans="2:12" x14ac:dyDescent="0.3">
      <c r="B52" t="s">
        <v>36</v>
      </c>
      <c r="C52" s="15">
        <f>IFERROR('data sheet'!B58,0)</f>
        <v>81986.929999999993</v>
      </c>
      <c r="D52" s="15">
        <f>IFERROR('data sheet'!C58,0)</f>
        <v>83014.490000000005</v>
      </c>
      <c r="E52" s="15">
        <f>IFERROR('data sheet'!D58,0)</f>
        <v>92147.05</v>
      </c>
      <c r="F52" s="15">
        <f>IFERROR('data sheet'!E58,0)</f>
        <v>100816.22</v>
      </c>
      <c r="G52" s="15">
        <f>IFERROR('data sheet'!F58,0)</f>
        <v>116328.2</v>
      </c>
      <c r="H52" s="15">
        <f>IFERROR('data sheet'!G58,0)</f>
        <v>88501.41</v>
      </c>
      <c r="I52" s="15">
        <f>IFERROR('data sheet'!H58,0)</f>
        <v>75561.350000000006</v>
      </c>
      <c r="J52" s="15">
        <f>IFERROR('data sheet'!I58,0)</f>
        <v>84893.05</v>
      </c>
      <c r="K52" s="15">
        <f>IFERROR('data sheet'!J58,0)</f>
        <v>87082.12</v>
      </c>
      <c r="L52" s="15">
        <f>IFERROR('data sheet'!K58,0)</f>
        <v>94801.05</v>
      </c>
    </row>
    <row r="53" spans="2:12" x14ac:dyDescent="0.3">
      <c r="B53" t="s">
        <v>37</v>
      </c>
      <c r="C53" s="15">
        <f>IFERROR('data sheet'!B59,0)</f>
        <v>51164.51</v>
      </c>
      <c r="D53" s="15">
        <f>IFERROR('data sheet'!C59,0)</f>
        <v>51613.56</v>
      </c>
      <c r="E53" s="15">
        <f>IFERROR('data sheet'!D59,0)</f>
        <v>55704.47</v>
      </c>
      <c r="F53" s="15">
        <f>IFERROR('data sheet'!E59,0)</f>
        <v>63032.14</v>
      </c>
      <c r="G53" s="15">
        <f>IFERROR('data sheet'!F59,0)</f>
        <v>59244.62</v>
      </c>
      <c r="H53" s="15">
        <f>IFERROR('data sheet'!G59,0)</f>
        <v>81169.009999999995</v>
      </c>
      <c r="I53" s="15">
        <f>IFERROR('data sheet'!H59,0)</f>
        <v>92417.279999999999</v>
      </c>
      <c r="J53" s="15">
        <f>IFERROR('data sheet'!I59,0)</f>
        <v>97420.63</v>
      </c>
      <c r="K53" s="15">
        <f>IFERROR('data sheet'!J59,0)</f>
        <v>90194.54</v>
      </c>
      <c r="L53" s="15">
        <f>IFERROR('data sheet'!K59,0)</f>
        <v>89487.9</v>
      </c>
    </row>
    <row r="54" spans="2:12" x14ac:dyDescent="0.3">
      <c r="B54" s="23" t="s">
        <v>74</v>
      </c>
      <c r="C54" s="24">
        <f>IFERROR('data sheet'!B60,0)</f>
        <v>176883.99</v>
      </c>
      <c r="D54" s="24">
        <f>IFERROR('data sheet'!C60,0)</f>
        <v>172447.37</v>
      </c>
      <c r="E54" s="24">
        <f>IFERROR('data sheet'!D60,0)</f>
        <v>208722.14</v>
      </c>
      <c r="F54" s="24">
        <f>IFERROR('data sheet'!E60,0)</f>
        <v>232773.44</v>
      </c>
      <c r="G54" s="24">
        <f>IFERROR('data sheet'!F60,0)</f>
        <v>249149.12</v>
      </c>
      <c r="H54" s="24">
        <f>IFERROR('data sheet'!G60,0)</f>
        <v>243909.19</v>
      </c>
      <c r="I54" s="24">
        <f>IFERROR('data sheet'!H60,0)</f>
        <v>282421.67</v>
      </c>
      <c r="J54" s="24">
        <f>IFERROR('data sheet'!I60,0)</f>
        <v>285395.78000000003</v>
      </c>
      <c r="K54" s="24">
        <f>IFERROR('data sheet'!J60,0)</f>
        <v>269312.42</v>
      </c>
      <c r="L54" s="24">
        <f>IFERROR('data sheet'!K60,0)</f>
        <v>275458.58</v>
      </c>
    </row>
    <row r="55" spans="2:12" x14ac:dyDescent="0.3">
      <c r="C55" s="15"/>
      <c r="D55" s="15"/>
      <c r="E55" s="15"/>
      <c r="F55" s="15"/>
      <c r="G55" s="15"/>
      <c r="H55" s="15"/>
      <c r="I55" s="15"/>
      <c r="J55" s="15"/>
      <c r="K55" s="15"/>
      <c r="L55" s="15"/>
    </row>
    <row r="56" spans="2:12" x14ac:dyDescent="0.3">
      <c r="B56" t="s">
        <v>75</v>
      </c>
      <c r="C56" s="15">
        <f>IFERROR('data sheet'!B61,0)</f>
        <v>72199.759999999995</v>
      </c>
      <c r="D56" s="15">
        <f>IFERROR('data sheet'!C61,0)</f>
        <v>92006.55</v>
      </c>
      <c r="E56" s="15">
        <f>IFERROR('data sheet'!D61,0)</f>
        <v>96104.89</v>
      </c>
      <c r="F56" s="15">
        <f>IFERROR('data sheet'!E61,0)</f>
        <v>124441.91</v>
      </c>
      <c r="G56" s="15">
        <f>IFERROR('data sheet'!F61,0)</f>
        <v>134550.66</v>
      </c>
      <c r="H56" s="15">
        <f>IFERROR('data sheet'!G61,0)</f>
        <v>135775.18</v>
      </c>
      <c r="I56" s="15">
        <f>IFERROR('data sheet'!H61,0)</f>
        <v>133287.82999999999</v>
      </c>
      <c r="J56" s="15">
        <f>IFERROR('data sheet'!I61,0)</f>
        <v>146621.46</v>
      </c>
      <c r="K56" s="15">
        <f>IFERROR('data sheet'!J61,0)</f>
        <v>148814.38</v>
      </c>
      <c r="L56" s="15">
        <f>IFERROR('data sheet'!K61,0)</f>
        <v>150914.06</v>
      </c>
    </row>
    <row r="57" spans="2:12" x14ac:dyDescent="0.3">
      <c r="B57" t="s">
        <v>15</v>
      </c>
      <c r="C57" s="15">
        <f>IFERROR('data sheet'!B62,0)</f>
        <v>35996.089999999997</v>
      </c>
      <c r="D57" s="15">
        <f>IFERROR('data sheet'!C62,0)</f>
        <v>15784.13</v>
      </c>
      <c r="E57" s="15">
        <f>IFERROR('data sheet'!D62,0)</f>
        <v>16614.41</v>
      </c>
      <c r="F57" s="15">
        <f>IFERROR('data sheet'!E62,0)</f>
        <v>18641.21</v>
      </c>
      <c r="G57" s="15">
        <f>IFERROR('data sheet'!F62,0)</f>
        <v>19496.830000000002</v>
      </c>
      <c r="H57" s="15">
        <f>IFERROR('data sheet'!G62,0)</f>
        <v>19007.400000000001</v>
      </c>
      <c r="I57" s="15">
        <f>IFERROR('data sheet'!H62,0)</f>
        <v>22045.55</v>
      </c>
      <c r="J57" s="15">
        <f>IFERROR('data sheet'!I62,0)</f>
        <v>31213.02</v>
      </c>
      <c r="K57" s="15">
        <f>IFERROR('data sheet'!J62,0)</f>
        <v>34355.53</v>
      </c>
      <c r="L57" s="15">
        <f>IFERROR('data sheet'!K62,0)</f>
        <v>41622.35</v>
      </c>
    </row>
    <row r="58" spans="2:12" x14ac:dyDescent="0.3">
      <c r="B58" t="s">
        <v>16</v>
      </c>
      <c r="C58" s="15">
        <f>IFERROR('data sheet'!B63,0)</f>
        <v>10713.71</v>
      </c>
      <c r="D58" s="15">
        <f>IFERROR('data sheet'!C63,0)</f>
        <v>12457.12</v>
      </c>
      <c r="E58" s="15">
        <f>IFERROR('data sheet'!D63,0)</f>
        <v>17899.47</v>
      </c>
      <c r="F58" s="15">
        <f>IFERROR('data sheet'!E63,0)</f>
        <v>5738.17</v>
      </c>
      <c r="G58" s="15">
        <f>IFERROR('data sheet'!F63,0)</f>
        <v>6285.18</v>
      </c>
      <c r="H58" s="15">
        <f>IFERROR('data sheet'!G63,0)</f>
        <v>10681.93</v>
      </c>
      <c r="I58" s="15">
        <f>IFERROR('data sheet'!H63,0)</f>
        <v>13139.85</v>
      </c>
      <c r="J58" s="15">
        <f>IFERROR('data sheet'!I63,0)</f>
        <v>8410.31</v>
      </c>
      <c r="K58" s="15">
        <f>IFERROR('data sheet'!J63,0)</f>
        <v>6257.57</v>
      </c>
      <c r="L58" s="15">
        <f>IFERROR('data sheet'!K63,0)</f>
        <v>6194.11</v>
      </c>
    </row>
    <row r="59" spans="2:12" x14ac:dyDescent="0.3">
      <c r="B59" t="s">
        <v>38</v>
      </c>
      <c r="C59" s="15">
        <f>IFERROR('data sheet'!B64-SUM('data sheet'!B66:B68),0)</f>
        <v>19708.54</v>
      </c>
      <c r="D59" s="15">
        <f>IFERROR('data sheet'!C64-SUM('data sheet'!C66:C68),0)</f>
        <v>10887.879999999997</v>
      </c>
      <c r="E59" s="15">
        <f>IFERROR('data sheet'!D64-SUM('data sheet'!D66:D68),0)</f>
        <v>29418.959999999999</v>
      </c>
      <c r="F59" s="15">
        <f>IFERROR('data sheet'!E64-SUM('data sheet'!E66:E68),0)</f>
        <v>37143.679999999993</v>
      </c>
      <c r="G59" s="15">
        <f>IFERROR('data sheet'!F64-SUM('data sheet'!F66:F68),0)</f>
        <v>41808.099999999991</v>
      </c>
      <c r="H59" s="15">
        <f>IFERROR('data sheet'!G64-SUM('data sheet'!G66:G68),0)</f>
        <v>29846.279999999992</v>
      </c>
      <c r="I59" s="15">
        <f>IFERROR('data sheet'!H64-SUM('data sheet'!H66:H68),0)</f>
        <v>36978.69</v>
      </c>
      <c r="J59" s="15">
        <f>IFERROR('data sheet'!I64-SUM('data sheet'!I66:I68),0)</f>
        <v>23121.160000000003</v>
      </c>
      <c r="K59" s="15">
        <f>IFERROR('data sheet'!J64-SUM('data sheet'!J66:J68),0)</f>
        <v>15786.18</v>
      </c>
      <c r="L59" s="15">
        <f>IFERROR('data sheet'!K64-SUM('data sheet'!K66:K68),0)</f>
        <v>15231.080000000002</v>
      </c>
    </row>
    <row r="60" spans="2:12" x14ac:dyDescent="0.3">
      <c r="B60" s="23" t="s">
        <v>86</v>
      </c>
      <c r="C60" s="24">
        <f>IFERROR(SUM(C56:C59),0)</f>
        <v>138618.1</v>
      </c>
      <c r="D60" s="24">
        <f t="shared" ref="D60:L60" si="17">IFERROR(SUM(D56:D59),0)</f>
        <v>131135.67999999999</v>
      </c>
      <c r="E60" s="24">
        <f t="shared" si="17"/>
        <v>160037.73000000001</v>
      </c>
      <c r="F60" s="24">
        <f t="shared" si="17"/>
        <v>185964.97</v>
      </c>
      <c r="G60" s="24">
        <f t="shared" si="17"/>
        <v>202140.76999999996</v>
      </c>
      <c r="H60" s="24">
        <f t="shared" si="17"/>
        <v>195310.78999999998</v>
      </c>
      <c r="I60" s="24">
        <f t="shared" si="17"/>
        <v>205451.91999999998</v>
      </c>
      <c r="J60" s="24">
        <f t="shared" si="17"/>
        <v>209365.94999999998</v>
      </c>
      <c r="K60" s="24">
        <f t="shared" si="17"/>
        <v>205213.66</v>
      </c>
      <c r="L60" s="24">
        <f t="shared" si="17"/>
        <v>213961.59999999998</v>
      </c>
    </row>
    <row r="61" spans="2:12" x14ac:dyDescent="0.3">
      <c r="B61" s="2"/>
      <c r="C61" s="15"/>
      <c r="D61" s="15"/>
      <c r="E61" s="15"/>
      <c r="F61" s="15"/>
      <c r="G61" s="15"/>
      <c r="H61" s="15"/>
      <c r="I61" s="15"/>
      <c r="J61" s="15"/>
      <c r="K61" s="15"/>
      <c r="L61" s="15"/>
    </row>
    <row r="62" spans="2:12" x14ac:dyDescent="0.3">
      <c r="B62" t="s">
        <v>43</v>
      </c>
      <c r="C62" s="15">
        <f>IFERROR('data sheet'!B66,0)</f>
        <v>12066.22</v>
      </c>
      <c r="D62" s="15">
        <f>IFERROR('data sheet'!C66,0)</f>
        <v>11586.82</v>
      </c>
      <c r="E62" s="15">
        <f>IFERROR('data sheet'!D66,0)</f>
        <v>12415.52</v>
      </c>
      <c r="F62" s="15">
        <f>IFERROR('data sheet'!E66,0)</f>
        <v>11811</v>
      </c>
      <c r="G62" s="15">
        <f>IFERROR('data sheet'!F66,0)</f>
        <v>7884.91</v>
      </c>
      <c r="H62" s="15">
        <f>IFERROR('data sheet'!G66,0)</f>
        <v>9539.84</v>
      </c>
      <c r="I62" s="15">
        <f>IFERROR('data sheet'!H66,0)</f>
        <v>12246.43</v>
      </c>
      <c r="J62" s="15">
        <f>IFERROR('data sheet'!I66,0)</f>
        <v>8257.24</v>
      </c>
      <c r="K62" s="15">
        <f>IFERROR('data sheet'!J66,0)</f>
        <v>6263.53</v>
      </c>
      <c r="L62" s="15">
        <f>IFERROR('data sheet'!K66,0)</f>
        <v>5260.06</v>
      </c>
    </row>
    <row r="63" spans="2:12" x14ac:dyDescent="0.3">
      <c r="B63" t="s">
        <v>30</v>
      </c>
      <c r="C63" s="15">
        <f>IFERROR('data sheet'!B67,0)</f>
        <v>20013.330000000002</v>
      </c>
      <c r="D63" s="15">
        <f>IFERROR('data sheet'!C67,0)</f>
        <v>24803.82</v>
      </c>
      <c r="E63" s="15">
        <f>IFERROR('data sheet'!D67,0)</f>
        <v>28331.040000000001</v>
      </c>
      <c r="F63" s="15">
        <f>IFERROR('data sheet'!E67,0)</f>
        <v>31656.1</v>
      </c>
      <c r="G63" s="15">
        <f>IFERROR('data sheet'!F67,0)</f>
        <v>31068.720000000001</v>
      </c>
      <c r="H63" s="15">
        <f>IFERROR('data sheet'!G67,0)</f>
        <v>33276.379999999997</v>
      </c>
      <c r="I63" s="15">
        <f>IFERROR('data sheet'!H67,0)</f>
        <v>48824.39</v>
      </c>
      <c r="J63" s="15">
        <f>IFERROR('data sheet'!I67,0)</f>
        <v>54415.33</v>
      </c>
      <c r="K63" s="15">
        <f>IFERROR('data sheet'!J67,0)</f>
        <v>49157.51</v>
      </c>
      <c r="L63" s="15">
        <f>IFERROR('data sheet'!K67,0)</f>
        <v>44589.94</v>
      </c>
    </row>
    <row r="64" spans="2:12" x14ac:dyDescent="0.3">
      <c r="B64" t="s">
        <v>52</v>
      </c>
      <c r="C64" s="15">
        <f>IFERROR('data sheet'!B68,0)</f>
        <v>6186.34</v>
      </c>
      <c r="D64" s="15">
        <f>IFERROR('data sheet'!C68,0)</f>
        <v>4921.05</v>
      </c>
      <c r="E64" s="15">
        <f>IFERROR('data sheet'!D68,0)</f>
        <v>7937.85</v>
      </c>
      <c r="F64" s="15">
        <f>IFERROR('data sheet'!E68,0)</f>
        <v>3341.37</v>
      </c>
      <c r="G64" s="15">
        <f>IFERROR('data sheet'!F68,0)</f>
        <v>8054.72</v>
      </c>
      <c r="H64" s="15">
        <f>IFERROR('data sheet'!G68,0)</f>
        <v>5782.18</v>
      </c>
      <c r="I64" s="15">
        <f>IFERROR('data sheet'!H68,0)</f>
        <v>15898.93</v>
      </c>
      <c r="J64" s="15">
        <f>IFERROR('data sheet'!I68,0)</f>
        <v>13357.26</v>
      </c>
      <c r="K64" s="15">
        <f>IFERROR('data sheet'!J68,0)</f>
        <v>8677.7199999999993</v>
      </c>
      <c r="L64" s="15">
        <f>IFERROR('data sheet'!K68,0)</f>
        <v>11646.98</v>
      </c>
    </row>
    <row r="65" spans="1:12" x14ac:dyDescent="0.3">
      <c r="B65" s="23" t="s">
        <v>87</v>
      </c>
      <c r="C65" s="24">
        <f>IFERROR(SUM(C62:C64),0)</f>
        <v>38265.89</v>
      </c>
      <c r="D65" s="24">
        <f t="shared" ref="D65:L65" si="18">IFERROR(SUM(D62:D64),0)</f>
        <v>41311.69</v>
      </c>
      <c r="E65" s="24">
        <f t="shared" si="18"/>
        <v>48684.409999999996</v>
      </c>
      <c r="F65" s="24">
        <f t="shared" si="18"/>
        <v>46808.47</v>
      </c>
      <c r="G65" s="24">
        <f t="shared" si="18"/>
        <v>47008.350000000006</v>
      </c>
      <c r="H65" s="24">
        <f t="shared" si="18"/>
        <v>48598.400000000001</v>
      </c>
      <c r="I65" s="24">
        <f t="shared" si="18"/>
        <v>76969.75</v>
      </c>
      <c r="J65" s="24">
        <f t="shared" si="18"/>
        <v>76029.83</v>
      </c>
      <c r="K65" s="24">
        <f t="shared" si="18"/>
        <v>64098.76</v>
      </c>
      <c r="L65" s="24">
        <f t="shared" si="18"/>
        <v>61496.979999999996</v>
      </c>
    </row>
    <row r="67" spans="1:12" x14ac:dyDescent="0.3">
      <c r="B67" s="23" t="s">
        <v>76</v>
      </c>
      <c r="C67" s="24">
        <f>IFERROR(C65+C60,0)</f>
        <v>176883.99</v>
      </c>
      <c r="D67" s="24">
        <f t="shared" ref="D67:L67" si="19">IFERROR(D65+D60,0)</f>
        <v>172447.37</v>
      </c>
      <c r="E67" s="24">
        <f t="shared" si="19"/>
        <v>208722.14</v>
      </c>
      <c r="F67" s="24">
        <f t="shared" si="19"/>
        <v>232773.44</v>
      </c>
      <c r="G67" s="24">
        <f t="shared" si="19"/>
        <v>249149.11999999997</v>
      </c>
      <c r="H67" s="24">
        <f t="shared" si="19"/>
        <v>243909.18999999997</v>
      </c>
      <c r="I67" s="24">
        <f t="shared" si="19"/>
        <v>282421.67</v>
      </c>
      <c r="J67" s="24">
        <f t="shared" si="19"/>
        <v>285395.77999999997</v>
      </c>
      <c r="K67" s="24">
        <f t="shared" si="19"/>
        <v>269312.42</v>
      </c>
      <c r="L67" s="24">
        <f t="shared" si="19"/>
        <v>275458.57999999996</v>
      </c>
    </row>
    <row r="69" spans="1:12" x14ac:dyDescent="0.3">
      <c r="B69" s="11" t="s">
        <v>88</v>
      </c>
      <c r="C69" s="11" t="b">
        <f>C67=C54</f>
        <v>1</v>
      </c>
      <c r="D69" s="11" t="b">
        <f t="shared" ref="D69:L69" si="20">D67=D54</f>
        <v>1</v>
      </c>
      <c r="E69" s="11" t="b">
        <f t="shared" si="20"/>
        <v>1</v>
      </c>
      <c r="F69" s="11" t="b">
        <f t="shared" si="20"/>
        <v>1</v>
      </c>
      <c r="G69" s="11" t="b">
        <f t="shared" si="20"/>
        <v>1</v>
      </c>
      <c r="H69" s="11" t="b">
        <f t="shared" si="20"/>
        <v>1</v>
      </c>
      <c r="I69" s="11" t="b">
        <f t="shared" si="20"/>
        <v>1</v>
      </c>
      <c r="J69" s="11" t="b">
        <f t="shared" si="20"/>
        <v>1</v>
      </c>
      <c r="K69" s="11" t="b">
        <f t="shared" si="20"/>
        <v>1</v>
      </c>
      <c r="L69" s="11" t="b">
        <f t="shared" si="20"/>
        <v>1</v>
      </c>
    </row>
    <row r="71" spans="1:12" x14ac:dyDescent="0.3">
      <c r="A71" t="s">
        <v>56</v>
      </c>
      <c r="B71" s="16" t="s">
        <v>89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</row>
    <row r="73" spans="1:12" x14ac:dyDescent="0.3">
      <c r="B73" s="182" t="str">
        <f>'data sheet'!A82</f>
        <v>Cash from Operating Activity</v>
      </c>
      <c r="C73" s="183">
        <f>'data sheet'!B82</f>
        <v>11455.35</v>
      </c>
      <c r="D73" s="183">
        <f>'data sheet'!C82</f>
        <v>10824.36</v>
      </c>
      <c r="E73" s="183">
        <f>'data sheet'!D82</f>
        <v>8023.39</v>
      </c>
      <c r="F73" s="183">
        <f>'data sheet'!E82</f>
        <v>25335.95</v>
      </c>
      <c r="G73" s="183">
        <f>'data sheet'!F82</f>
        <v>20168.72</v>
      </c>
      <c r="H73" s="183">
        <f>'data sheet'!G82</f>
        <v>44326.68</v>
      </c>
      <c r="I73" s="183">
        <f>'data sheet'!H82</f>
        <v>44380.99</v>
      </c>
      <c r="J73" s="183">
        <f>'data sheet'!I82</f>
        <v>21683.08</v>
      </c>
      <c r="K73" s="183">
        <f>'data sheet'!J82</f>
        <v>20300.669999999998</v>
      </c>
      <c r="L73" s="183">
        <f>'data sheet'!K82</f>
        <v>23511.81</v>
      </c>
    </row>
    <row r="74" spans="1:12" x14ac:dyDescent="0.3">
      <c r="B74" s="182" t="str">
        <f>'data sheet'!A83</f>
        <v>Cash from Investing Activity</v>
      </c>
      <c r="C74" s="183">
        <f>'data sheet'!B83</f>
        <v>-8794.31</v>
      </c>
      <c r="D74" s="183">
        <f>'data sheet'!C83</f>
        <v>-9489.65</v>
      </c>
      <c r="E74" s="183">
        <f>'data sheet'!D83</f>
        <v>-11730.31</v>
      </c>
      <c r="F74" s="183">
        <f>'data sheet'!E83</f>
        <v>-29176.45</v>
      </c>
      <c r="G74" s="183">
        <f>'data sheet'!F83</f>
        <v>-14012.06</v>
      </c>
      <c r="H74" s="183">
        <f>'data sheet'!G83</f>
        <v>-9437.27</v>
      </c>
      <c r="I74" s="183">
        <f>'data sheet'!H83</f>
        <v>-10905.02</v>
      </c>
      <c r="J74" s="183">
        <f>'data sheet'!I83</f>
        <v>-18179.45</v>
      </c>
      <c r="K74" s="183">
        <f>'data sheet'!J83</f>
        <v>-14252.74</v>
      </c>
      <c r="L74" s="183">
        <f>'data sheet'!K83</f>
        <v>-13985.25</v>
      </c>
    </row>
    <row r="75" spans="1:12" x14ac:dyDescent="0.3">
      <c r="B75" s="182" t="str">
        <f>'data sheet'!A84</f>
        <v>Cash from Financing Activity</v>
      </c>
      <c r="C75" s="183">
        <f>'data sheet'!B84</f>
        <v>-4729.12</v>
      </c>
      <c r="D75" s="183">
        <f>'data sheet'!C84</f>
        <v>-2579.36</v>
      </c>
      <c r="E75" s="183">
        <f>'data sheet'!D84</f>
        <v>6639.94</v>
      </c>
      <c r="F75" s="183">
        <f>'data sheet'!E84</f>
        <v>-672.7</v>
      </c>
      <c r="G75" s="183">
        <f>'data sheet'!F84</f>
        <v>-1694.62</v>
      </c>
      <c r="H75" s="183">
        <f>'data sheet'!G84</f>
        <v>-37089.67</v>
      </c>
      <c r="I75" s="183">
        <f>'data sheet'!H84</f>
        <v>-23401.09</v>
      </c>
      <c r="J75" s="183">
        <f>'data sheet'!I84</f>
        <v>-6980.69</v>
      </c>
      <c r="K75" s="183">
        <f>'data sheet'!J84</f>
        <v>-11096.99</v>
      </c>
      <c r="L75" s="183">
        <f>'data sheet'!K84</f>
        <v>-7002.44</v>
      </c>
    </row>
    <row r="76" spans="1:12" x14ac:dyDescent="0.3">
      <c r="C76" s="15"/>
      <c r="D76" s="15"/>
      <c r="E76" s="15"/>
      <c r="F76" s="15"/>
      <c r="G76" s="15"/>
      <c r="H76" s="15"/>
      <c r="I76" s="15"/>
      <c r="J76" s="15"/>
      <c r="K76" s="15"/>
      <c r="L76" s="15"/>
    </row>
    <row r="77" spans="1:12" ht="15" thickBot="1" x14ac:dyDescent="0.35">
      <c r="B77" s="153" t="str">
        <f>'data sheet'!A85</f>
        <v>Net Cash Flow</v>
      </c>
      <c r="C77" s="181">
        <f>'data sheet'!B85</f>
        <v>-2068.08</v>
      </c>
      <c r="D77" s="181">
        <f>'data sheet'!C85</f>
        <v>-1244.6500000000001</v>
      </c>
      <c r="E77" s="181">
        <f>'data sheet'!D85</f>
        <v>2933.02</v>
      </c>
      <c r="F77" s="181">
        <f>'data sheet'!E85</f>
        <v>-4513.2</v>
      </c>
      <c r="G77" s="181">
        <f>'data sheet'!F85</f>
        <v>4462.04</v>
      </c>
      <c r="H77" s="181">
        <f>'data sheet'!G85</f>
        <v>-2200.2600000000002</v>
      </c>
      <c r="I77" s="181">
        <f>'data sheet'!H85</f>
        <v>10074.879999999999</v>
      </c>
      <c r="J77" s="181">
        <f>'data sheet'!I85</f>
        <v>-3477.06</v>
      </c>
      <c r="K77" s="181">
        <f>'data sheet'!J85</f>
        <v>-5049.0600000000004</v>
      </c>
      <c r="L77" s="181">
        <f>'data sheet'!K85</f>
        <v>2524.12</v>
      </c>
    </row>
    <row r="78" spans="1:12" ht="15" thickTop="1" x14ac:dyDescent="0.3"/>
  </sheetData>
  <mergeCells count="1">
    <mergeCell ref="B2:L2"/>
  </mergeCells>
  <pageMargins left="0.7" right="0.7" top="0.75" bottom="0.75" header="0.3" footer="0.3"/>
  <pageSetup scale="52" orientation="portrait" r:id="rId1"/>
  <ignoredErrors>
    <ignoredError sqref="M7 M10 C16:L16 M25 M3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9ED5C-4181-4A08-A5D1-D5B53BE1C744}">
  <dimension ref="B3:M41"/>
  <sheetViews>
    <sheetView showGridLines="0" topLeftCell="A2" zoomScale="90" zoomScaleNormal="90" workbookViewId="0">
      <selection activeCell="P26" sqref="P26"/>
    </sheetView>
  </sheetViews>
  <sheetFormatPr defaultRowHeight="14.4" x14ac:dyDescent="0.3"/>
  <cols>
    <col min="1" max="1" width="1.88671875" customWidth="1"/>
    <col min="3" max="3" width="13.44140625" customWidth="1"/>
  </cols>
  <sheetData>
    <row r="3" spans="2:13" x14ac:dyDescent="0.3">
      <c r="B3" s="213" t="s">
        <v>253</v>
      </c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</row>
    <row r="5" spans="2:13" x14ac:dyDescent="0.3">
      <c r="B5" s="102" t="s">
        <v>254</v>
      </c>
      <c r="C5" s="102"/>
      <c r="D5" s="109">
        <v>42460</v>
      </c>
      <c r="E5" s="109">
        <v>42825</v>
      </c>
      <c r="F5" s="109">
        <v>43190</v>
      </c>
      <c r="G5" s="109">
        <v>43555</v>
      </c>
      <c r="H5" s="109">
        <v>43921</v>
      </c>
      <c r="I5" s="109">
        <v>44286</v>
      </c>
      <c r="J5" s="109">
        <v>44651</v>
      </c>
      <c r="K5" s="109">
        <v>45016</v>
      </c>
      <c r="L5" s="109">
        <v>45382</v>
      </c>
      <c r="M5" s="109">
        <v>45747</v>
      </c>
    </row>
    <row r="6" spans="2:13" x14ac:dyDescent="0.3">
      <c r="B6" s="110"/>
      <c r="C6" s="110"/>
      <c r="D6" s="111"/>
      <c r="E6" s="111"/>
      <c r="F6" s="111"/>
      <c r="G6" s="111"/>
      <c r="H6" s="111"/>
      <c r="I6" s="111"/>
      <c r="J6" s="111"/>
      <c r="K6" s="111"/>
      <c r="L6" s="111"/>
      <c r="M6" s="111"/>
    </row>
    <row r="7" spans="2:13" x14ac:dyDescent="0.3">
      <c r="B7" s="2" t="s">
        <v>1</v>
      </c>
      <c r="C7" s="2"/>
      <c r="D7" s="112">
        <f>'data sheet'!B17/'data sheet'!B$17</f>
        <v>1</v>
      </c>
      <c r="E7" s="112">
        <f>'data sheet'!C17/'data sheet'!C$17</f>
        <v>1</v>
      </c>
      <c r="F7" s="112">
        <f>'data sheet'!D17/'data sheet'!D$17</f>
        <v>1</v>
      </c>
      <c r="G7" s="112">
        <f>'data sheet'!E17/'data sheet'!E$17</f>
        <v>1</v>
      </c>
      <c r="H7" s="112">
        <f>'data sheet'!F17/'data sheet'!F$17</f>
        <v>1</v>
      </c>
      <c r="I7" s="112">
        <f>'data sheet'!G17/'data sheet'!G$17</f>
        <v>1</v>
      </c>
      <c r="J7" s="112">
        <f>'data sheet'!H17/'data sheet'!H$17</f>
        <v>1</v>
      </c>
      <c r="K7" s="112">
        <f>'data sheet'!I17/'data sheet'!I$17</f>
        <v>1</v>
      </c>
      <c r="L7" s="112">
        <f>'data sheet'!J17/'data sheet'!J$17</f>
        <v>1</v>
      </c>
      <c r="M7" s="112">
        <f>'data sheet'!K17/'data sheet'!K$17</f>
        <v>1</v>
      </c>
    </row>
    <row r="8" spans="2:13" x14ac:dyDescent="0.3">
      <c r="B8" t="s">
        <v>45</v>
      </c>
      <c r="D8" s="10">
        <f>'data sheet'!B18/'data sheet'!B$17</f>
        <v>0.37950646066600285</v>
      </c>
      <c r="E8" s="10">
        <f>'data sheet'!C18/'data sheet'!C$17</f>
        <v>0.39041190061355613</v>
      </c>
      <c r="F8" s="10">
        <f>'data sheet'!D18/'data sheet'!D$17</f>
        <v>0.37433961976345947</v>
      </c>
      <c r="G8" s="10">
        <f>'data sheet'!E18/'data sheet'!E$17</f>
        <v>0.38610667830116757</v>
      </c>
      <c r="H8" s="10">
        <f>'data sheet'!F18/'data sheet'!F$17</f>
        <v>0.41511500955000707</v>
      </c>
      <c r="I8" s="10">
        <f>'data sheet'!G18/'data sheet'!G$17</f>
        <v>0.3521327041476916</v>
      </c>
      <c r="J8" s="10">
        <f>'data sheet'!H18/'data sheet'!H$17</f>
        <v>0.37332726619786416</v>
      </c>
      <c r="K8" s="10">
        <f>'data sheet'!I18/'data sheet'!I$17</f>
        <v>0.47912842056522986</v>
      </c>
      <c r="L8" s="10">
        <f>'data sheet'!J18/'data sheet'!J$17</f>
        <v>0.42547479220518425</v>
      </c>
      <c r="M8" s="10">
        <f>'data sheet'!K18/'data sheet'!K$17</f>
        <v>0.43514325885613742</v>
      </c>
    </row>
    <row r="9" spans="2:13" x14ac:dyDescent="0.3">
      <c r="B9" t="s">
        <v>46</v>
      </c>
      <c r="D9" s="10">
        <f>'data sheet'!B19/'data sheet'!B$17</f>
        <v>-1.8880942349471463E-2</v>
      </c>
      <c r="E9" s="10">
        <f>'data sheet'!C19/'data sheet'!C$17</f>
        <v>4.0410983422710468E-2</v>
      </c>
      <c r="F9" s="10">
        <f>'data sheet'!D19/'data sheet'!D$17</f>
        <v>-8.0576672911203298E-4</v>
      </c>
      <c r="G9" s="10">
        <f>'data sheet'!E19/'data sheet'!E$17</f>
        <v>6.1337362534002408E-4</v>
      </c>
      <c r="H9" s="10">
        <f>'data sheet'!F19/'data sheet'!F$17</f>
        <v>4.0427230948531529E-3</v>
      </c>
      <c r="I9" s="10">
        <f>'data sheet'!G19/'data sheet'!G$17</f>
        <v>-9.6932208740687156E-3</v>
      </c>
      <c r="J9" s="10">
        <f>'data sheet'!H19/'data sheet'!H$17</f>
        <v>3.1144022993683736E-2</v>
      </c>
      <c r="K9" s="10">
        <f>'data sheet'!I19/'data sheet'!I$17</f>
        <v>1.3802559568994285E-2</v>
      </c>
      <c r="L9" s="10">
        <f>'data sheet'!J19/'data sheet'!J$17</f>
        <v>-1.9240454651330334E-2</v>
      </c>
      <c r="M9" s="10">
        <f>'data sheet'!K19/'data sheet'!K$17</f>
        <v>4.4224805508090854E-4</v>
      </c>
    </row>
    <row r="10" spans="2:13" x14ac:dyDescent="0.3">
      <c r="B10" t="s">
        <v>47</v>
      </c>
      <c r="D10" s="10">
        <f>'data sheet'!B20/'data sheet'!B$17</f>
        <v>4.8976646039924403E-2</v>
      </c>
      <c r="E10" s="10">
        <f>'data sheet'!C20/'data sheet'!C$17</f>
        <v>4.6490266824174162E-2</v>
      </c>
      <c r="F10" s="10">
        <f>'data sheet'!D20/'data sheet'!D$17</f>
        <v>3.6028101469650034E-2</v>
      </c>
      <c r="G10" s="10">
        <f>'data sheet'!E20/'data sheet'!E$17</f>
        <v>3.371975681457718E-2</v>
      </c>
      <c r="H10" s="10">
        <f>'data sheet'!F20/'data sheet'!F$17</f>
        <v>3.8049259512368525E-2</v>
      </c>
      <c r="I10" s="10">
        <f>'data sheet'!G20/'data sheet'!G$17</f>
        <v>3.6480795309738023E-2</v>
      </c>
      <c r="J10" s="10">
        <f>'data sheet'!H20/'data sheet'!H$17</f>
        <v>3.2908334620092371E-2</v>
      </c>
      <c r="K10" s="10">
        <f>'data sheet'!I20/'data sheet'!I$17</f>
        <v>3.9148570743146496E-2</v>
      </c>
      <c r="L10" s="10">
        <f>'data sheet'!J20/'data sheet'!J$17</f>
        <v>7.249008795973029E-2</v>
      </c>
      <c r="M10" s="10">
        <f>'data sheet'!K20/'data sheet'!K$17</f>
        <v>6.0056279210850098E-2</v>
      </c>
    </row>
    <row r="11" spans="2:13" x14ac:dyDescent="0.3">
      <c r="B11" t="s">
        <v>48</v>
      </c>
      <c r="D11" s="10">
        <f>'data sheet'!B21/'data sheet'!B$17</f>
        <v>0.15725321464129946</v>
      </c>
      <c r="E11" s="10">
        <f>'data sheet'!C21/'data sheet'!C$17</f>
        <v>0.14068763667701933</v>
      </c>
      <c r="F11" s="10">
        <f>'data sheet'!D21/'data sheet'!D$17</f>
        <v>0.13757337073618486</v>
      </c>
      <c r="G11" s="10">
        <f>'data sheet'!E21/'data sheet'!E$17</f>
        <v>0.13150512348686955</v>
      </c>
      <c r="H11" s="10">
        <f>'data sheet'!F21/'data sheet'!F$17</f>
        <v>0.15186095504362321</v>
      </c>
      <c r="I11" s="10">
        <f>'data sheet'!G21/'data sheet'!G$17</f>
        <v>0.13257460821818359</v>
      </c>
      <c r="J11" s="10">
        <f>'data sheet'!H21/'data sheet'!H$17</f>
        <v>0.11819215485935618</v>
      </c>
      <c r="K11" s="10">
        <f>'data sheet'!I21/'data sheet'!I$17</f>
        <v>0.1362007956435575</v>
      </c>
      <c r="L11" s="10">
        <f>'data sheet'!J21/'data sheet'!J$17</f>
        <v>0.17505246524011484</v>
      </c>
      <c r="M11" s="10">
        <f>'data sheet'!K21/'data sheet'!K$17</f>
        <v>0.17708454066899845</v>
      </c>
    </row>
    <row r="12" spans="2:13" x14ac:dyDescent="0.3">
      <c r="B12" t="s">
        <v>49</v>
      </c>
      <c r="D12" s="10">
        <f>'data sheet'!B22/'data sheet'!B$17</f>
        <v>0.1724874054476882</v>
      </c>
      <c r="E12" s="10">
        <f>'data sheet'!C22/'data sheet'!C$17</f>
        <v>0.15362697331829497</v>
      </c>
      <c r="F12" s="10">
        <f>'data sheet'!D22/'data sheet'!D$17</f>
        <v>0.13856096439510657</v>
      </c>
      <c r="G12" s="10">
        <f>'data sheet'!E22/'data sheet'!E$17</f>
        <v>0.11897628062436374</v>
      </c>
      <c r="H12" s="10">
        <f>'data sheet'!F22/'data sheet'!F$17</f>
        <v>0.13255631571776325</v>
      </c>
      <c r="I12" s="10">
        <f>'data sheet'!G22/'data sheet'!G$17</f>
        <v>0.12723121677635238</v>
      </c>
      <c r="J12" s="10">
        <f>'data sheet'!H22/'data sheet'!H$17</f>
        <v>9.5360629403682576E-2</v>
      </c>
      <c r="K12" s="10">
        <f>'data sheet'!I22/'data sheet'!I$17</f>
        <v>9.2126863278149909E-2</v>
      </c>
      <c r="L12" s="10">
        <f>'data sheet'!J22/'data sheet'!J$17</f>
        <v>0.10694897490858128</v>
      </c>
      <c r="M12" s="10">
        <f>'data sheet'!K22/'data sheet'!K$17</f>
        <v>0.11388626404995532</v>
      </c>
    </row>
    <row r="13" spans="2:13" x14ac:dyDescent="0.3">
      <c r="B13" t="s">
        <v>50</v>
      </c>
      <c r="D13" s="10">
        <f>'data sheet'!B23/'data sheet'!B$17</f>
        <v>0.12659692489716051</v>
      </c>
      <c r="E13" s="10">
        <f>'data sheet'!C23/'data sheet'!C$17</f>
        <v>0.12263927988230038</v>
      </c>
      <c r="F13" s="10">
        <f>'data sheet'!D23/'data sheet'!D$17</f>
        <v>0.11703025426479892</v>
      </c>
      <c r="G13" s="10">
        <f>'data sheet'!E23/'data sheet'!E$17</f>
        <v>0.10729528996158344</v>
      </c>
      <c r="H13" s="10">
        <f>'data sheet'!F23/'data sheet'!F$17</f>
        <v>0.111568042861848</v>
      </c>
      <c r="I13" s="10">
        <f>'data sheet'!G23/'data sheet'!G$17</f>
        <v>0.11189967369089722</v>
      </c>
      <c r="J13" s="10">
        <f>'data sheet'!H23/'data sheet'!H$17</f>
        <v>0.11250107958639143</v>
      </c>
      <c r="K13" s="10">
        <f>'data sheet'!I23/'data sheet'!I$17</f>
        <v>0.10486804152442283</v>
      </c>
      <c r="L13" s="10">
        <f>'data sheet'!J23/'data sheet'!J$17</f>
        <v>6.3068991605299773E-2</v>
      </c>
      <c r="M13" s="10">
        <f>'data sheet'!K23/'data sheet'!K$17</f>
        <v>5.5537295695926615E-2</v>
      </c>
    </row>
    <row r="14" spans="2:13" x14ac:dyDescent="0.3">
      <c r="B14" t="s">
        <v>51</v>
      </c>
      <c r="D14" s="10">
        <f>'data sheet'!B24/'data sheet'!B$17</f>
        <v>0.10243033080461557</v>
      </c>
      <c r="E14" s="10">
        <f>'data sheet'!C24/'data sheet'!C$17</f>
        <v>6.9513983242299918E-2</v>
      </c>
      <c r="F14" s="10">
        <f>'data sheet'!D24/'data sheet'!D$17</f>
        <v>2.1760488740401852E-2</v>
      </c>
      <c r="G14" s="10">
        <f>'data sheet'!E24/'data sheet'!E$17</f>
        <v>3.7062329123818197E-2</v>
      </c>
      <c r="H14" s="10">
        <f>'data sheet'!F24/'data sheet'!F$17</f>
        <v>2.9993423530030223E-2</v>
      </c>
      <c r="I14" s="10">
        <f>'data sheet'!G24/'data sheet'!G$17</f>
        <v>3.5044230029384435E-2</v>
      </c>
      <c r="J14" s="10">
        <f>'data sheet'!H24/'data sheet'!H$17</f>
        <v>3.860629629130153E-2</v>
      </c>
      <c r="K14" s="10">
        <f>'data sheet'!I24/'data sheet'!I$17</f>
        <v>2.960004263770415E-2</v>
      </c>
      <c r="L14" s="10">
        <f>'data sheet'!J24/'data sheet'!J$17</f>
        <v>4.0644143201851481E-2</v>
      </c>
      <c r="M14" s="10">
        <f>'data sheet'!K24/'data sheet'!K$17</f>
        <v>4.2974751228033389E-2</v>
      </c>
    </row>
    <row r="15" spans="2:13" x14ac:dyDescent="0.3">
      <c r="B15" t="s">
        <v>4</v>
      </c>
      <c r="D15" s="10">
        <f>'data sheet'!B25/'data sheet'!B$17</f>
        <v>0.10146519305893255</v>
      </c>
      <c r="E15" s="10">
        <f>'data sheet'!C25/'data sheet'!C$17</f>
        <v>-3.3741135973810017E-2</v>
      </c>
      <c r="F15" s="10">
        <f>'data sheet'!D25/'data sheet'!D$17</f>
        <v>8.8425900495638629E-2</v>
      </c>
      <c r="G15" s="10">
        <f>'data sheet'!E25/'data sheet'!E$17</f>
        <v>9.6677856565200292E-3</v>
      </c>
      <c r="H15" s="10">
        <f>'data sheet'!F25/'data sheet'!F$17</f>
        <v>-2.0624367698696831E-2</v>
      </c>
      <c r="I15" s="10">
        <f>'data sheet'!G25/'data sheet'!G$17</f>
        <v>1.1489199079228055E-3</v>
      </c>
      <c r="J15" s="10">
        <f>'data sheet'!H25/'data sheet'!H$17</f>
        <v>5.3287195558174754E-3</v>
      </c>
      <c r="K15" s="10">
        <f>'data sheet'!I25/'data sheet'!I$17</f>
        <v>6.4468570287840249E-3</v>
      </c>
      <c r="L15" s="10">
        <f>'data sheet'!J25/'data sheet'!J$17</f>
        <v>-2.6204169658976591E-2</v>
      </c>
      <c r="M15" s="10">
        <f>'data sheet'!K25/'data sheet'!K$17</f>
        <v>4.0115765120479303E-3</v>
      </c>
    </row>
    <row r="16" spans="2:13" x14ac:dyDescent="0.3">
      <c r="B16" t="s">
        <v>5</v>
      </c>
      <c r="D16" s="10">
        <f>'data sheet'!B26/'data sheet'!B$17</f>
        <v>5.2041039292806381E-2</v>
      </c>
      <c r="E16" s="10">
        <f>'data sheet'!C26/'data sheet'!C$17</f>
        <v>5.0515666064882614E-2</v>
      </c>
      <c r="F16" s="10">
        <f>'data sheet'!D26/'data sheet'!D$17</f>
        <v>4.6586152739326953E-2</v>
      </c>
      <c r="G16" s="10">
        <f>'data sheet'!E26/'data sheet'!E$17</f>
        <v>4.6564831803641286E-2</v>
      </c>
      <c r="H16" s="10">
        <f>'data sheet'!F26/'data sheet'!F$17</f>
        <v>6.0369991699844042E-2</v>
      </c>
      <c r="I16" s="10">
        <f>'data sheet'!G26/'data sheet'!G$17</f>
        <v>5.9009416056248376E-2</v>
      </c>
      <c r="J16" s="10">
        <f>'data sheet'!H26/'data sheet'!H$17</f>
        <v>3.7304889994501947E-2</v>
      </c>
      <c r="K16" s="10">
        <f>'data sheet'!I26/'data sheet'!I$17</f>
        <v>3.8360784094887142E-2</v>
      </c>
      <c r="L16" s="10">
        <f>'data sheet'!J26/'data sheet'!J$17</f>
        <v>4.3121378737725639E-2</v>
      </c>
      <c r="M16" s="10">
        <f>'data sheet'!K26/'data sheet'!K$17</f>
        <v>4.768559672898421E-2</v>
      </c>
    </row>
    <row r="17" spans="2:13" x14ac:dyDescent="0.3">
      <c r="B17" t="s">
        <v>6</v>
      </c>
      <c r="D17" s="10">
        <f>'data sheet'!B27/'data sheet'!B$17</f>
        <v>4.140069231789191E-2</v>
      </c>
      <c r="E17" s="10">
        <f>'data sheet'!C27/'data sheet'!C$17</f>
        <v>4.5166751529081804E-2</v>
      </c>
      <c r="F17" s="10">
        <f>'data sheet'!D27/'data sheet'!D$17</f>
        <v>4.4257859308796402E-2</v>
      </c>
      <c r="G17" s="10">
        <f>'data sheet'!E27/'data sheet'!E$17</f>
        <v>4.8583427850968038E-2</v>
      </c>
      <c r="H17" s="10">
        <f>'data sheet'!F27/'data sheet'!F$17</f>
        <v>5.3880993429609426E-2</v>
      </c>
      <c r="I17" s="10">
        <f>'data sheet'!G27/'data sheet'!G$17</f>
        <v>4.8612195754786314E-2</v>
      </c>
      <c r="J17" s="10">
        <f>'data sheet'!H27/'data sheet'!H$17</f>
        <v>2.2389812196852446E-2</v>
      </c>
      <c r="K17" s="10">
        <f>'data sheet'!I27/'data sheet'!I$17</f>
        <v>2.5883009552925013E-2</v>
      </c>
      <c r="L17" s="10">
        <f>'data sheet'!J27/'data sheet'!J$17</f>
        <v>3.2759717447398834E-2</v>
      </c>
      <c r="M17" s="10">
        <f>'data sheet'!K27/'data sheet'!K$17</f>
        <v>3.3590490014963219E-2</v>
      </c>
    </row>
    <row r="18" spans="2:13" x14ac:dyDescent="0.3">
      <c r="B18" t="s">
        <v>7</v>
      </c>
      <c r="D18" s="10">
        <f>'data sheet'!B28/'data sheet'!B$17</f>
        <v>1.8915366020717753E-3</v>
      </c>
      <c r="E18" s="10">
        <f>'data sheet'!C28/'data sheet'!C$17</f>
        <v>-1.2382610702708883E-2</v>
      </c>
      <c r="F18" s="10">
        <f>'data sheet'!D28/'data sheet'!D$17</f>
        <v>0.17148332234880148</v>
      </c>
      <c r="G18" s="10">
        <f>'data sheet'!E28/'data sheet'!E$17</f>
        <v>0.10046744131487112</v>
      </c>
      <c r="H18" s="10">
        <f>'data sheet'!F28/'data sheet'!F$17</f>
        <v>-9.9756359489374131E-3</v>
      </c>
      <c r="I18" s="10">
        <f>'data sheet'!G28/'data sheet'!G$17</f>
        <v>8.847085905057217E-2</v>
      </c>
      <c r="J18" s="10">
        <f>'data sheet'!H28/'data sheet'!H$17</f>
        <v>0.20588227939945852</v>
      </c>
      <c r="K18" s="10">
        <f>'data sheet'!I28/'data sheet'!I$17</f>
        <v>7.4932888557755414E-2</v>
      </c>
      <c r="L18" s="10">
        <f>'data sheet'!J28/'data sheet'!J$17</f>
        <v>-5.0051756161933036E-3</v>
      </c>
      <c r="M18" s="10">
        <f>'data sheet'!K28/'data sheet'!K$17</f>
        <v>3.8495348113280113E-2</v>
      </c>
    </row>
    <row r="19" spans="2:13" x14ac:dyDescent="0.3">
      <c r="B19" t="s">
        <v>8</v>
      </c>
      <c r="D19" s="10">
        <f>'data sheet'!B29/'data sheet'!B$17</f>
        <v>6.7666541917635829E-3</v>
      </c>
      <c r="E19" s="10">
        <f>'data sheet'!C29/'data sheet'!C$17</f>
        <v>2.4737527584737306E-2</v>
      </c>
      <c r="F19" s="10">
        <f>'data sheet'!D29/'data sheet'!D$17</f>
        <v>2.7524183346779005E-2</v>
      </c>
      <c r="G19" s="10">
        <f>'data sheet'!E29/'data sheet'!E$17</f>
        <v>4.2610978861474288E-2</v>
      </c>
      <c r="H19" s="10">
        <f>'data sheet'!F29/'data sheet'!F$17</f>
        <v>-1.8369843648807206E-2</v>
      </c>
      <c r="I19" s="10">
        <f>'data sheet'!G29/'data sheet'!G$17</f>
        <v>3.6132374387611244E-2</v>
      </c>
      <c r="J19" s="10">
        <f>'data sheet'!H29/'data sheet'!H$17</f>
        <v>3.4749872283956366E-2</v>
      </c>
      <c r="K19" s="10">
        <f>'data sheet'!I29/'data sheet'!I$17</f>
        <v>4.1749158392290632E-2</v>
      </c>
      <c r="L19" s="10">
        <f>'data sheet'!J29/'data sheet'!J$17</f>
        <v>1.6418192581096072E-2</v>
      </c>
      <c r="M19" s="10">
        <f>'data sheet'!K29/'data sheet'!K$17</f>
        <v>2.3972864592797072E-2</v>
      </c>
    </row>
    <row r="20" spans="2:13" x14ac:dyDescent="0.3">
      <c r="B20" t="s">
        <v>9</v>
      </c>
      <c r="D20" s="10">
        <f>'data sheet'!B30/'data sheet'!B$17</f>
        <v>-3.7540435554572205E-3</v>
      </c>
      <c r="E20" s="10">
        <f>'data sheet'!C30/'data sheet'!C$17</f>
        <v>-3.7763329498941317E-2</v>
      </c>
      <c r="F20" s="10">
        <f>'data sheet'!D30/'data sheet'!D$17</f>
        <v>0.10900147157297008</v>
      </c>
      <c r="G20" s="10">
        <f>'data sheet'!E30/'data sheet'!E$17</f>
        <v>6.4808749012725972E-2</v>
      </c>
      <c r="H20" s="10">
        <f>'data sheet'!F30/'data sheet'!F$17</f>
        <v>1.1132722747970289E-2</v>
      </c>
      <c r="I20" s="10">
        <f>'data sheet'!G30/'data sheet'!G$17</f>
        <v>4.7867743201254628E-2</v>
      </c>
      <c r="J20" s="10">
        <f>'data sheet'!H30/'data sheet'!H$17</f>
        <v>0.16459282920170618</v>
      </c>
      <c r="K20" s="10">
        <f>'data sheet'!I30/'data sheet'!I$17</f>
        <v>3.5998780206621096E-2</v>
      </c>
      <c r="L20" s="10">
        <f>'data sheet'!J30/'data sheet'!J$17</f>
        <v>-1.9363026996722703E-2</v>
      </c>
      <c r="M20" s="10">
        <f>'data sheet'!K30/'data sheet'!K$17</f>
        <v>1.5651462957938938E-2</v>
      </c>
    </row>
    <row r="21" spans="2:13" x14ac:dyDescent="0.3">
      <c r="B21" t="s">
        <v>35</v>
      </c>
      <c r="D21" s="10">
        <f>'data sheet'!B31/'data sheet'!B$17</f>
        <v>7.6123388560278499E-3</v>
      </c>
      <c r="E21" s="10">
        <f>'data sheet'!C31/'data sheet'!C$17</f>
        <v>8.6397596710650875E-3</v>
      </c>
      <c r="F21" s="10">
        <f>'data sheet'!D31/'data sheet'!D$17</f>
        <v>9.2897252693265753E-3</v>
      </c>
      <c r="G21" s="10">
        <f>'data sheet'!E31/'data sheet'!E$17</f>
        <v>9.4401568754895939E-3</v>
      </c>
      <c r="H21" s="10">
        <f>'data sheet'!F31/'data sheet'!F$17</f>
        <v>8.18893887101429E-3</v>
      </c>
      <c r="I21" s="10">
        <f>'data sheet'!G31/'data sheet'!G$17</f>
        <v>1.9133881314490144E-2</v>
      </c>
      <c r="J21" s="10">
        <f>'data sheet'!H31/'data sheet'!H$17</f>
        <v>2.552955890118826E-2</v>
      </c>
      <c r="K21" s="10">
        <f>'data sheet'!I31/'data sheet'!I$17</f>
        <v>1.8066206705995319E-2</v>
      </c>
      <c r="L21" s="10">
        <f>'data sheet'!J31/'data sheet'!J$17</f>
        <v>1.9595779182668922E-2</v>
      </c>
      <c r="M21" s="10">
        <f>'data sheet'!K31/'data sheet'!K$17</f>
        <v>2.054877103772625E-2</v>
      </c>
    </row>
    <row r="22" spans="2:13" x14ac:dyDescent="0.3">
      <c r="B22" t="s">
        <v>63</v>
      </c>
      <c r="D22" s="10">
        <f>'data sheet'!B32/'data sheet'!B$17</f>
        <v>9.6454342247004651E-2</v>
      </c>
      <c r="E22" s="10">
        <f>'data sheet'!C32/'data sheet'!C$17</f>
        <v>8.2656615679760417E-2</v>
      </c>
      <c r="F22" s="10">
        <f>'data sheet'!D32/'data sheet'!D$17</f>
        <v>0.22736966696787242</v>
      </c>
      <c r="G22" s="10">
        <f>'data sheet'!E32/'data sheet'!E$17</f>
        <v>0.20256798752880958</v>
      </c>
      <c r="H22" s="10">
        <f>'data sheet'!F32/'data sheet'!F$17</f>
        <v>0.10701386422861656</v>
      </c>
      <c r="I22" s="10">
        <f>'data sheet'!G32/'data sheet'!G$17</f>
        <v>0.19162172939990058</v>
      </c>
      <c r="J22" s="10">
        <f>'data sheet'!H32/'data sheet'!H$17</f>
        <v>0.25903740367701694</v>
      </c>
      <c r="K22" s="10">
        <f>'data sheet'!I32/'data sheet'!I$17</f>
        <v>0.14199173224672387</v>
      </c>
      <c r="L22" s="10">
        <f>'data sheet'!J32/'data sheet'!J$17</f>
        <v>7.2936261769497843E-2</v>
      </c>
      <c r="M22" s="10">
        <f>'data sheet'!K32/'data sheet'!K$17</f>
        <v>0.12090041429468343</v>
      </c>
    </row>
    <row r="24" spans="2:13" x14ac:dyDescent="0.3">
      <c r="B24" s="102" t="s">
        <v>255</v>
      </c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</row>
    <row r="26" spans="2:13" x14ac:dyDescent="0.3">
      <c r="B26" s="102" t="s">
        <v>254</v>
      </c>
      <c r="C26" s="102"/>
      <c r="D26" s="109">
        <v>42460</v>
      </c>
      <c r="E26" s="109">
        <v>42825</v>
      </c>
      <c r="F26" s="109">
        <v>43190</v>
      </c>
      <c r="G26" s="109">
        <v>43555</v>
      </c>
      <c r="H26" s="109">
        <v>43921</v>
      </c>
      <c r="I26" s="109">
        <v>44286</v>
      </c>
      <c r="J26" s="109">
        <v>44651</v>
      </c>
      <c r="K26" s="109">
        <v>45016</v>
      </c>
      <c r="L26" s="109">
        <v>45382</v>
      </c>
      <c r="M26" s="109">
        <v>45747</v>
      </c>
    </row>
    <row r="28" spans="2:13" x14ac:dyDescent="0.3">
      <c r="B28" s="2" t="s">
        <v>74</v>
      </c>
      <c r="C28" s="2"/>
      <c r="D28" s="112">
        <f>'data sheet'!B60/'data sheet'!B$60</f>
        <v>1</v>
      </c>
      <c r="E28" s="112">
        <f>'data sheet'!C60/'data sheet'!C$60</f>
        <v>1</v>
      </c>
      <c r="F28" s="112">
        <f>'data sheet'!D60/'data sheet'!D$60</f>
        <v>1</v>
      </c>
      <c r="G28" s="112">
        <f>'data sheet'!E60/'data sheet'!E$60</f>
        <v>1</v>
      </c>
      <c r="H28" s="112">
        <f>'data sheet'!F60/'data sheet'!F$60</f>
        <v>1</v>
      </c>
      <c r="I28" s="112">
        <f>'data sheet'!G60/'data sheet'!G$60</f>
        <v>1</v>
      </c>
      <c r="J28" s="112">
        <f>'data sheet'!H60/'data sheet'!H$60</f>
        <v>1</v>
      </c>
      <c r="K28" s="112">
        <f>'data sheet'!I60/'data sheet'!I$60</f>
        <v>1</v>
      </c>
      <c r="L28" s="112">
        <f>'data sheet'!J60/'data sheet'!J$60</f>
        <v>1</v>
      </c>
      <c r="M28" s="112">
        <f>'data sheet'!K60/'data sheet'!K$60</f>
        <v>1</v>
      </c>
    </row>
    <row r="29" spans="2:13" x14ac:dyDescent="0.3">
      <c r="B29" t="s">
        <v>11</v>
      </c>
      <c r="D29" s="10">
        <f>'data sheet'!B56/'data sheet'!B$60</f>
        <v>5.4851770360901516E-3</v>
      </c>
      <c r="E29" s="10">
        <f>'data sheet'!C56/'data sheet'!C$60</f>
        <v>5.6262963013005074E-3</v>
      </c>
      <c r="F29" s="10">
        <f>'data sheet'!D56/'data sheet'!D$60</f>
        <v>5.4855225229101237E-3</v>
      </c>
      <c r="G29" s="10">
        <f>'data sheet'!E56/'data sheet'!E$60</f>
        <v>4.9186883177049752E-3</v>
      </c>
      <c r="H29" s="10">
        <f>'data sheet'!F56/'data sheet'!F$60</f>
        <v>4.595440674243602E-3</v>
      </c>
      <c r="I29" s="10">
        <f>'data sheet'!G56/'data sheet'!G$60</f>
        <v>4.9100650943082538E-3</v>
      </c>
      <c r="J29" s="10">
        <f>'data sheet'!H56/'data sheet'!H$60</f>
        <v>4.3240662092253763E-3</v>
      </c>
      <c r="K29" s="10">
        <f>'data sheet'!I56/'data sheet'!I$60</f>
        <v>4.2791102237040779E-3</v>
      </c>
      <c r="L29" s="10">
        <f>'data sheet'!J56/'data sheet'!J$60</f>
        <v>4.631943821974494E-3</v>
      </c>
      <c r="M29" s="10">
        <f>'data sheet'!K56/'data sheet'!K$60</f>
        <v>4.5285937363069252E-3</v>
      </c>
    </row>
    <row r="30" spans="2:13" x14ac:dyDescent="0.3">
      <c r="B30" t="s">
        <v>12</v>
      </c>
      <c r="D30" s="10">
        <f>'data sheet'!B57/'data sheet'!B$60</f>
        <v>0.24175342268115957</v>
      </c>
      <c r="E30" s="10">
        <f>'data sheet'!C57/'data sheet'!C$60</f>
        <v>0.21368305008072899</v>
      </c>
      <c r="F30" s="10">
        <f>'data sheet'!D57/'data sheet'!D$60</f>
        <v>0.28614918379046894</v>
      </c>
      <c r="G30" s="10">
        <f>'data sheet'!E57/'data sheet'!E$60</f>
        <v>0.2911850252331194</v>
      </c>
      <c r="H30" s="10">
        <f>'data sheet'!F57/'data sheet'!F$60</f>
        <v>0.29071485381927098</v>
      </c>
      <c r="I30" s="10">
        <f>'data sheet'!G57/'data sheet'!G$60</f>
        <v>0.29946046723372743</v>
      </c>
      <c r="J30" s="10">
        <f>'data sheet'!H57/'data sheet'!H$60</f>
        <v>0.40089639722051079</v>
      </c>
      <c r="K30" s="10">
        <f>'data sheet'!I57/'data sheet'!I$60</f>
        <v>0.35691088354565015</v>
      </c>
      <c r="L30" s="10">
        <f>'data sheet'!J57/'data sheet'!J$60</f>
        <v>0.3371115227437339</v>
      </c>
      <c r="M30" s="10">
        <f>'data sheet'!K57/'data sheet'!K$60</f>
        <v>0.32644541331767557</v>
      </c>
    </row>
    <row r="31" spans="2:13" x14ac:dyDescent="0.3">
      <c r="B31" t="s">
        <v>36</v>
      </c>
      <c r="D31" s="10">
        <f>'data sheet'!B58/'data sheet'!B$60</f>
        <v>0.4635067876974055</v>
      </c>
      <c r="E31" s="10">
        <f>'data sheet'!C58/'data sheet'!C$60</f>
        <v>0.48139029316596715</v>
      </c>
      <c r="F31" s="10">
        <f>'data sheet'!D58/'data sheet'!D$60</f>
        <v>0.44148191466415587</v>
      </c>
      <c r="G31" s="10">
        <f>'data sheet'!E58/'data sheet'!E$60</f>
        <v>0.43310877735879144</v>
      </c>
      <c r="H31" s="10">
        <f>'data sheet'!F58/'data sheet'!F$60</f>
        <v>0.46690190998868469</v>
      </c>
      <c r="I31" s="10">
        <f>'data sheet'!G58/'data sheet'!G$60</f>
        <v>0.36284573779282364</v>
      </c>
      <c r="J31" s="10">
        <f>'data sheet'!H58/'data sheet'!H$60</f>
        <v>0.26754798950094733</v>
      </c>
      <c r="K31" s="10">
        <f>'data sheet'!I58/'data sheet'!I$60</f>
        <v>0.2974572714424859</v>
      </c>
      <c r="L31" s="10">
        <f>'data sheet'!J58/'data sheet'!J$60</f>
        <v>0.32334981060286783</v>
      </c>
      <c r="M31" s="10">
        <f>'data sheet'!K58/'data sheet'!K$60</f>
        <v>0.34415718689902486</v>
      </c>
    </row>
    <row r="32" spans="2:13" x14ac:dyDescent="0.3">
      <c r="B32" t="s">
        <v>37</v>
      </c>
      <c r="D32" s="10">
        <f>'data sheet'!B59/'data sheet'!B$60</f>
        <v>0.28925461258534479</v>
      </c>
      <c r="E32" s="10">
        <f>'data sheet'!C59/'data sheet'!C$60</f>
        <v>0.29930036045200342</v>
      </c>
      <c r="F32" s="10">
        <f>'data sheet'!D59/'data sheet'!D$60</f>
        <v>0.26688337902246495</v>
      </c>
      <c r="G32" s="10">
        <f>'data sheet'!E59/'data sheet'!E$60</f>
        <v>0.27078750909038418</v>
      </c>
      <c r="H32" s="10">
        <f>'data sheet'!F59/'data sheet'!F$60</f>
        <v>0.23778779551780077</v>
      </c>
      <c r="I32" s="10">
        <f>'data sheet'!G59/'data sheet'!G$60</f>
        <v>0.33278372987914068</v>
      </c>
      <c r="J32" s="10">
        <f>'data sheet'!H59/'data sheet'!H$60</f>
        <v>0.32723154706931662</v>
      </c>
      <c r="K32" s="10">
        <f>'data sheet'!I59/'data sheet'!I$60</f>
        <v>0.34135273478815981</v>
      </c>
      <c r="L32" s="10">
        <f>'data sheet'!J59/'data sheet'!J$60</f>
        <v>0.33490672283142381</v>
      </c>
      <c r="M32" s="10">
        <f>'data sheet'!K59/'data sheet'!K$60</f>
        <v>0.32486880604699259</v>
      </c>
    </row>
    <row r="34" spans="2:13" x14ac:dyDescent="0.3">
      <c r="B34" s="2" t="s">
        <v>76</v>
      </c>
      <c r="C34" s="2"/>
      <c r="D34" s="112">
        <f>'data sheet'!B65/'data sheet'!B$65</f>
        <v>1</v>
      </c>
      <c r="E34" s="112">
        <f>'data sheet'!C65/'data sheet'!C$65</f>
        <v>1</v>
      </c>
      <c r="F34" s="112">
        <f>'data sheet'!D65/'data sheet'!D$65</f>
        <v>1</v>
      </c>
      <c r="G34" s="112">
        <f>'data sheet'!E65/'data sheet'!E$65</f>
        <v>1</v>
      </c>
      <c r="H34" s="112">
        <f>'data sheet'!F65/'data sheet'!F$65</f>
        <v>1</v>
      </c>
      <c r="I34" s="112">
        <f>'data sheet'!G65/'data sheet'!G$65</f>
        <v>1</v>
      </c>
      <c r="J34" s="112">
        <f>'data sheet'!H65/'data sheet'!H$65</f>
        <v>1</v>
      </c>
      <c r="K34" s="112">
        <f>'data sheet'!I65/'data sheet'!I$65</f>
        <v>1</v>
      </c>
      <c r="L34" s="112">
        <f>'data sheet'!J65/'data sheet'!J$65</f>
        <v>1</v>
      </c>
      <c r="M34" s="112">
        <f>'data sheet'!K65/'data sheet'!K$65</f>
        <v>1</v>
      </c>
    </row>
    <row r="35" spans="2:13" x14ac:dyDescent="0.3">
      <c r="B35" t="s">
        <v>14</v>
      </c>
      <c r="D35" s="10">
        <f>'data sheet'!B61/'data sheet'!B$65</f>
        <v>0.40817577667713173</v>
      </c>
      <c r="E35" s="10">
        <f>'data sheet'!C61/'data sheet'!C$65</f>
        <v>0.53353408637081567</v>
      </c>
      <c r="F35" s="10">
        <f>'data sheet'!D61/'data sheet'!D$65</f>
        <v>0.46044415796043481</v>
      </c>
      <c r="G35" s="10">
        <f>'data sheet'!E61/'data sheet'!E$65</f>
        <v>0.53460527970888772</v>
      </c>
      <c r="H35" s="10">
        <f>'data sheet'!F61/'data sheet'!F$65</f>
        <v>0.54004067925264998</v>
      </c>
      <c r="I35" s="10">
        <f>'data sheet'!G61/'data sheet'!G$65</f>
        <v>0.55666283012952478</v>
      </c>
      <c r="J35" s="10">
        <f>'data sheet'!H61/'data sheet'!H$65</f>
        <v>0.47194618599911259</v>
      </c>
      <c r="K35" s="10">
        <f>'data sheet'!I61/'data sheet'!I$65</f>
        <v>0.51374782065803493</v>
      </c>
      <c r="L35" s="10">
        <f>'data sheet'!J61/'data sheet'!J$65</f>
        <v>0.55257154497367789</v>
      </c>
      <c r="M35" s="10">
        <f>'data sheet'!K61/'data sheet'!K$65</f>
        <v>0.54786480058090758</v>
      </c>
    </row>
    <row r="36" spans="2:13" x14ac:dyDescent="0.3">
      <c r="B36" t="s">
        <v>15</v>
      </c>
      <c r="D36" s="10">
        <f>'data sheet'!B62/'data sheet'!B$65</f>
        <v>0.20350111957560432</v>
      </c>
      <c r="E36" s="10">
        <f>'data sheet'!C62/'data sheet'!C$65</f>
        <v>9.1530128873522396E-2</v>
      </c>
      <c r="F36" s="10">
        <f>'data sheet'!D62/'data sheet'!D$65</f>
        <v>7.9600611607374278E-2</v>
      </c>
      <c r="G36" s="10">
        <f>'data sheet'!E62/'data sheet'!E$65</f>
        <v>8.0083062741178712E-2</v>
      </c>
      <c r="H36" s="10">
        <f>'data sheet'!F62/'data sheet'!F$65</f>
        <v>7.8253657889700762E-2</v>
      </c>
      <c r="I36" s="10">
        <f>'data sheet'!G62/'data sheet'!G$65</f>
        <v>7.7928183025822037E-2</v>
      </c>
      <c r="J36" s="10">
        <f>'data sheet'!H62/'data sheet'!H$65</f>
        <v>7.8058988887077962E-2</v>
      </c>
      <c r="K36" s="10">
        <f>'data sheet'!I62/'data sheet'!I$65</f>
        <v>0.10936748959637735</v>
      </c>
      <c r="L36" s="10">
        <f>'data sheet'!J62/'data sheet'!J$65</f>
        <v>0.12756756632315733</v>
      </c>
      <c r="M36" s="10">
        <f>'data sheet'!K62/'data sheet'!K$65</f>
        <v>0.15110202775313805</v>
      </c>
    </row>
    <row r="37" spans="2:13" x14ac:dyDescent="0.3">
      <c r="B37" t="s">
        <v>16</v>
      </c>
      <c r="D37" s="10">
        <f>'data sheet'!B63/'data sheet'!B$65</f>
        <v>6.0569133475562142E-2</v>
      </c>
      <c r="E37" s="10">
        <f>'data sheet'!C63/'data sheet'!C$65</f>
        <v>7.2237228088778624E-2</v>
      </c>
      <c r="F37" s="10">
        <f>'data sheet'!D63/'data sheet'!D$65</f>
        <v>8.5757409348141023E-2</v>
      </c>
      <c r="G37" s="10">
        <f>'data sheet'!E63/'data sheet'!E$65</f>
        <v>2.4651309015324085E-2</v>
      </c>
      <c r="H37" s="10">
        <f>'data sheet'!F63/'data sheet'!F$65</f>
        <v>2.5226579166725535E-2</v>
      </c>
      <c r="I37" s="10">
        <f>'data sheet'!G63/'data sheet'!G$65</f>
        <v>4.3794700806476378E-2</v>
      </c>
      <c r="J37" s="10">
        <f>'data sheet'!H63/'data sheet'!H$65</f>
        <v>4.6525643729817198E-2</v>
      </c>
      <c r="K37" s="10">
        <f>'data sheet'!I63/'data sheet'!I$65</f>
        <v>2.9468936085880453E-2</v>
      </c>
      <c r="L37" s="10">
        <f>'data sheet'!J63/'data sheet'!J$65</f>
        <v>2.323535617109675E-2</v>
      </c>
      <c r="M37" s="10">
        <f>'data sheet'!K63/'data sheet'!K$65</f>
        <v>2.2486538629510104E-2</v>
      </c>
    </row>
    <row r="38" spans="2:13" x14ac:dyDescent="0.3">
      <c r="B38" t="s">
        <v>38</v>
      </c>
      <c r="D38" s="10">
        <f>'data sheet'!B73/'data sheet'!B$74</f>
        <v>0.1114207113939481</v>
      </c>
      <c r="E38" s="10">
        <f>'data sheet'!C73/'data sheet'!C$74</f>
        <v>6.3137408242294427E-2</v>
      </c>
      <c r="F38" s="10">
        <f>'data sheet'!D73/'data sheet'!D$74</f>
        <v>0.14094796076736277</v>
      </c>
      <c r="G38" s="10">
        <f>'data sheet'!E73/'data sheet'!E$74</f>
        <v>0.15957009528234833</v>
      </c>
      <c r="H38" s="10">
        <f>'data sheet'!F73/'data sheet'!F$74</f>
        <v>0.16780352264539403</v>
      </c>
      <c r="I38" s="10">
        <f>'data sheet'!G73/'data sheet'!G$74</f>
        <v>0.12236636102149324</v>
      </c>
      <c r="J38" s="10">
        <f>'data sheet'!H73/'data sheet'!H$74</f>
        <v>0.13093432242646255</v>
      </c>
      <c r="K38" s="10">
        <f>'data sheet'!I73/'data sheet'!I$74</f>
        <v>8.1014372391911338E-2</v>
      </c>
      <c r="L38" s="10">
        <f>'data sheet'!J73/'data sheet'!J$74</f>
        <v>5.8616605947843035E-2</v>
      </c>
      <c r="M38" s="10">
        <f>'data sheet'!K73/'data sheet'!K$74</f>
        <v>5.52935399579857E-2</v>
      </c>
    </row>
    <row r="39" spans="2:13" x14ac:dyDescent="0.3">
      <c r="B39" t="s">
        <v>43</v>
      </c>
      <c r="D39" s="10">
        <f>'data sheet'!B66/'data sheet'!B$74</f>
        <v>6.8215444484263379E-2</v>
      </c>
      <c r="E39" s="10">
        <f>'data sheet'!C66/'data sheet'!C$74</f>
        <v>6.7190470924549328E-2</v>
      </c>
      <c r="F39" s="10">
        <f>'data sheet'!D66/'data sheet'!D$74</f>
        <v>5.9483483640020172E-2</v>
      </c>
      <c r="G39" s="10">
        <f>'data sheet'!E66/'data sheet'!E$74</f>
        <v>5.0740325013025542E-2</v>
      </c>
      <c r="H39" s="10">
        <f>'data sheet'!F66/'data sheet'!F$74</f>
        <v>3.1647352396829656E-2</v>
      </c>
      <c r="I39" s="10">
        <f>'data sheet'!G66/'data sheet'!G$74</f>
        <v>3.9112261411716386E-2</v>
      </c>
      <c r="J39" s="10">
        <f>'data sheet'!H66/'data sheet'!H$74</f>
        <v>4.3362217920459155E-2</v>
      </c>
      <c r="K39" s="10">
        <f>'data sheet'!I66/'data sheet'!I$74</f>
        <v>2.8932593186906965E-2</v>
      </c>
      <c r="L39" s="10">
        <f>'data sheet'!J66/'data sheet'!J$74</f>
        <v>2.325748660236316E-2</v>
      </c>
      <c r="M39" s="10">
        <f>'data sheet'!K66/'data sheet'!K$74</f>
        <v>1.9095647701371291E-2</v>
      </c>
    </row>
    <row r="40" spans="2:13" x14ac:dyDescent="0.3">
      <c r="B40" t="s">
        <v>30</v>
      </c>
      <c r="D40" s="10">
        <f>'data sheet'!B67/'data sheet'!B$74</f>
        <v>0.11314381816013989</v>
      </c>
      <c r="E40" s="10">
        <f>'data sheet'!C67/'data sheet'!C$74</f>
        <v>0.14383414487562204</v>
      </c>
      <c r="F40" s="10">
        <f>'data sheet'!D67/'data sheet'!D$74</f>
        <v>0.13573567231535666</v>
      </c>
      <c r="G40" s="10">
        <f>'data sheet'!E67/'data sheet'!E$74</f>
        <v>0.13599532661458283</v>
      </c>
      <c r="H40" s="10">
        <f>'data sheet'!F67/'data sheet'!F$74</f>
        <v>0.12469929654979316</v>
      </c>
      <c r="I40" s="10">
        <f>'data sheet'!G67/'data sheet'!G$74</f>
        <v>0.13642938177114194</v>
      </c>
      <c r="J40" s="10">
        <f>'data sheet'!H67/'data sheet'!H$74</f>
        <v>0.1728776336461717</v>
      </c>
      <c r="K40" s="10">
        <f>'data sheet'!I67/'data sheet'!I$74</f>
        <v>0.19066620396419315</v>
      </c>
      <c r="L40" s="10">
        <f>'data sheet'!J67/'data sheet'!J$74</f>
        <v>0.18252968058435629</v>
      </c>
      <c r="M40" s="10">
        <f>'data sheet'!K67/'data sheet'!K$74</f>
        <v>0.16187529900139613</v>
      </c>
    </row>
    <row r="41" spans="2:13" x14ac:dyDescent="0.3">
      <c r="B41" t="s">
        <v>52</v>
      </c>
      <c r="D41" s="10">
        <f>'data sheet'!B68/'data sheet'!B$74</f>
        <v>3.4973996233350457E-2</v>
      </c>
      <c r="E41" s="10">
        <f>'data sheet'!C68/'data sheet'!C$74</f>
        <v>2.8536532624417528E-2</v>
      </c>
      <c r="F41" s="10">
        <f>'data sheet'!D68/'data sheet'!D$74</f>
        <v>3.8030704361310209E-2</v>
      </c>
      <c r="G41" s="10">
        <f>'data sheet'!E68/'data sheet'!E$74</f>
        <v>1.435460162465271E-2</v>
      </c>
      <c r="H41" s="10">
        <f>'data sheet'!F68/'data sheet'!F$74</f>
        <v>3.232891209890687E-2</v>
      </c>
      <c r="I41" s="10">
        <f>'data sheet'!G68/'data sheet'!G$74</f>
        <v>2.3706281833825123E-2</v>
      </c>
      <c r="J41" s="10">
        <f>'data sheet'!H68/'data sheet'!H$74</f>
        <v>5.629500739089887E-2</v>
      </c>
      <c r="K41" s="10">
        <f>'data sheet'!I68/'data sheet'!I$74</f>
        <v>4.6802584116695765E-2</v>
      </c>
      <c r="L41" s="10">
        <f>'data sheet'!J68/'data sheet'!J$74</f>
        <v>3.2221759397505691E-2</v>
      </c>
      <c r="M41" s="10">
        <f>'data sheet'!K68/'data sheet'!K$74</f>
        <v>4.2282146375691033E-2</v>
      </c>
    </row>
  </sheetData>
  <mergeCells count="1">
    <mergeCell ref="B3:M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D3FAF-74AE-488F-86F8-75C5A23E25A2}">
  <sheetPr>
    <pageSetUpPr autoPageBreaks="0" fitToPage="1"/>
  </sheetPr>
  <dimension ref="B2:O40"/>
  <sheetViews>
    <sheetView showGridLines="0" zoomScale="70" zoomScaleNormal="70" workbookViewId="0">
      <selection activeCell="H13" sqref="H13:L13"/>
    </sheetView>
  </sheetViews>
  <sheetFormatPr defaultRowHeight="14.4" x14ac:dyDescent="0.3"/>
  <cols>
    <col min="1" max="1" width="1.88671875" customWidth="1"/>
    <col min="2" max="2" width="40.77734375" customWidth="1"/>
    <col min="3" max="3" width="11" bestFit="1" customWidth="1"/>
    <col min="4" max="4" width="12" bestFit="1" customWidth="1"/>
    <col min="5" max="8" width="11.6640625" bestFit="1" customWidth="1"/>
    <col min="9" max="9" width="10.6640625" bestFit="1" customWidth="1"/>
    <col min="10" max="10" width="11.6640625" bestFit="1" customWidth="1"/>
    <col min="11" max="11" width="12.6640625" bestFit="1" customWidth="1"/>
    <col min="12" max="12" width="11.6640625" bestFit="1" customWidth="1"/>
    <col min="13" max="13" width="28.44140625" customWidth="1"/>
    <col min="14" max="14" width="15.109375" customWidth="1"/>
    <col min="15" max="15" width="14.5546875" customWidth="1"/>
  </cols>
  <sheetData>
    <row r="2" spans="2:15" x14ac:dyDescent="0.3">
      <c r="B2" s="214" t="s">
        <v>142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</row>
    <row r="3" spans="2:15" x14ac:dyDescent="0.3">
      <c r="B3" s="18" t="s">
        <v>55</v>
      </c>
      <c r="C3" s="19">
        <v>42460</v>
      </c>
      <c r="D3" s="19">
        <v>42825</v>
      </c>
      <c r="E3" s="19">
        <v>43190</v>
      </c>
      <c r="F3" s="19">
        <v>43555</v>
      </c>
      <c r="G3" s="19">
        <v>43921</v>
      </c>
      <c r="H3" s="19">
        <v>44286</v>
      </c>
      <c r="I3" s="19">
        <v>44651</v>
      </c>
      <c r="J3" s="19">
        <v>45016</v>
      </c>
      <c r="K3" s="19">
        <v>45382</v>
      </c>
      <c r="L3" s="19">
        <v>45747</v>
      </c>
      <c r="M3" s="52" t="s">
        <v>148</v>
      </c>
      <c r="N3" s="51" t="s">
        <v>146</v>
      </c>
      <c r="O3" s="51" t="s">
        <v>147</v>
      </c>
    </row>
    <row r="5" spans="2:15" x14ac:dyDescent="0.3">
      <c r="B5" s="27" t="s">
        <v>10</v>
      </c>
      <c r="C5" s="28" t="str">
        <f>IFERROR('HISTORICAL(FS)'!C8,0)</f>
        <v xml:space="preserve">                 -</v>
      </c>
      <c r="D5" s="32">
        <f>IFERROR('HISTORICAL(FS)'!D8,0)</f>
        <v>0.10135564536439667</v>
      </c>
      <c r="E5" s="32">
        <f>IFERROR('HISTORICAL(FS)'!E8,0)</f>
        <v>9.7504065470685575E-2</v>
      </c>
      <c r="F5" s="32">
        <f>IFERROR('HISTORICAL(FS)'!F8,0)</f>
        <v>0.27927123506895413</v>
      </c>
      <c r="G5" s="32">
        <f>IFERROR('HISTORICAL(FS)'!G8,0)</f>
        <v>-0.11322670361495935</v>
      </c>
      <c r="H5" s="32">
        <f>IFERROR('HISTORICAL(FS)'!H8,0)</f>
        <v>0.11916141604022124</v>
      </c>
      <c r="I5" s="32">
        <f>IFERROR('HISTORICAL(FS)'!I8,0)</f>
        <v>0.55906968035000593</v>
      </c>
      <c r="J5" s="32">
        <f>IFERROR('HISTORICAL(FS)'!J8,0)</f>
        <v>-2.4859897662383723E-3</v>
      </c>
      <c r="K5" s="32">
        <f>IFERROR('HISTORICAL(FS)'!K8,0)</f>
        <v>-5.8277186087402622E-2</v>
      </c>
      <c r="L5" s="32">
        <f>IFERROR('HISTORICAL(FS)'!L8,0)</f>
        <v>-4.6377073028245563E-2</v>
      </c>
      <c r="M5" s="27"/>
      <c r="N5" s="32">
        <f>IFERROR(AVERAGE(D5:L5),0)</f>
        <v>0.10399945442193528</v>
      </c>
      <c r="O5" s="32">
        <f>IFERROR(MEDIAN(C5:L5),0)</f>
        <v>9.7504065470685575E-2</v>
      </c>
    </row>
    <row r="6" spans="2:15" x14ac:dyDescent="0.3">
      <c r="B6" t="s">
        <v>116</v>
      </c>
      <c r="C6" s="29" t="s">
        <v>143</v>
      </c>
      <c r="D6" s="34">
        <f>IFERROR('HISTORICAL(FS)'!D19/'HISTORICAL(FS)'!C19-1,0)</f>
        <v>-22.021735653509246</v>
      </c>
      <c r="E6" s="34">
        <f>IFERROR('HISTORICAL(FS)'!E19/'HISTORICAL(FS)'!D19-1,0)</f>
        <v>0.6306903039723426</v>
      </c>
      <c r="F6" s="34">
        <f>IFERROR('HISTORICAL(FS)'!F19/'HISTORICAL(FS)'!E19-1,0)</f>
        <v>0.36788877437283007</v>
      </c>
      <c r="G6" s="34">
        <f>IFERROR('HISTORICAL(FS)'!G19/'HISTORICAL(FS)'!F19-1,0)</f>
        <v>-0.40436151990127622</v>
      </c>
      <c r="H6" s="34">
        <f>IFERROR('HISTORICAL(FS)'!H19/'HISTORICAL(FS)'!G19-1,0)</f>
        <v>0.74678779091407677</v>
      </c>
      <c r="I6" s="34">
        <f>IFERROR('HISTORICAL(FS)'!I19/'HISTORICAL(FS)'!H19-1,0)</f>
        <v>1.0813469987470614</v>
      </c>
      <c r="J6" s="34">
        <f>IFERROR('HISTORICAL(FS)'!J19/'HISTORICAL(FS)'!I19-1,0)</f>
        <v>-0.49125554516895964</v>
      </c>
      <c r="K6" s="34">
        <f>IFERROR('HISTORICAL(FS)'!K19/'HISTORICAL(FS)'!J19-1,0)</f>
        <v>-0.31121331906715044</v>
      </c>
      <c r="L6" s="34">
        <f>IFERROR('HISTORICAL(FS)'!L19/'HISTORICAL(FS)'!K19-1,0)</f>
        <v>0.13711528987878352</v>
      </c>
      <c r="N6" s="34">
        <f t="shared" ref="N6:N9" si="0">IFERROR(AVERAGE(D6:L6),0)</f>
        <v>-2.2516374310846157</v>
      </c>
      <c r="O6" s="34">
        <f t="shared" ref="O6:O40" si="1">IFERROR(MEDIAN(C6:L6),0)</f>
        <v>0.13711528987878352</v>
      </c>
    </row>
    <row r="7" spans="2:15" x14ac:dyDescent="0.3">
      <c r="B7" t="s">
        <v>117</v>
      </c>
      <c r="C7" s="29" t="s">
        <v>144</v>
      </c>
      <c r="D7" s="34">
        <f>IFERROR('HISTORICAL(FS)'!D28/'HISTORICAL(FS)'!C28-1,0)</f>
        <v>-1.2362405200433373</v>
      </c>
      <c r="E7" s="34">
        <f>IFERROR('HISTORICAL(FS)'!E28/'HISTORICAL(FS)'!D28-1,0)</f>
        <v>3.2678910174897329</v>
      </c>
      <c r="F7" s="34">
        <f>IFERROR('HISTORICAL(FS)'!F28/'HISTORICAL(FS)'!E28-1,0)</f>
        <v>0.39851906122548608</v>
      </c>
      <c r="G7" s="34">
        <f>IFERROR('HISTORICAL(FS)'!G28/'HISTORICAL(FS)'!F28-1,0)</f>
        <v>-0.89600168758805487</v>
      </c>
      <c r="H7" s="34">
        <f>IFERROR('HISTORICAL(FS)'!H28/'HISTORICAL(FS)'!G28-1,0)</f>
        <v>8.1773694143880462</v>
      </c>
      <c r="I7" s="34">
        <f>IFERROR('HISTORICAL(FS)'!I28/'HISTORICAL(FS)'!H28-1,0)</f>
        <v>2.5807378707851596</v>
      </c>
      <c r="J7" s="34">
        <f>IFERROR('HISTORICAL(FS)'!J28/'HISTORICAL(FS)'!I28-1,0)</f>
        <v>-0.65936393246411762</v>
      </c>
      <c r="K7" s="34">
        <f>IFERROR('HISTORICAL(FS)'!K28/'HISTORICAL(FS)'!J28-1,0)</f>
        <v>-0.7085014874362936</v>
      </c>
      <c r="L7" s="34">
        <f>IFERROR('HISTORICAL(FS)'!L28/'HISTORICAL(FS)'!K28-1,0)</f>
        <v>0.55122998482973862</v>
      </c>
      <c r="N7" s="34">
        <f t="shared" si="0"/>
        <v>1.2750710801318179</v>
      </c>
      <c r="O7" s="34">
        <f t="shared" si="1"/>
        <v>0.39851906122548608</v>
      </c>
    </row>
    <row r="8" spans="2:15" x14ac:dyDescent="0.3">
      <c r="B8" t="s">
        <v>118</v>
      </c>
      <c r="C8" s="29" t="s">
        <v>144</v>
      </c>
      <c r="D8" s="34">
        <f>IFERROR('HISTORICAL(FS)'!D34/'HISTORICAL(FS)'!C34-1,0)</f>
        <v>-0.96500402104222471</v>
      </c>
      <c r="E8" s="34">
        <f>IFERROR('HISTORICAL(FS)'!E34/'HISTORICAL(FS)'!D34-1,0)</f>
        <v>-19.037263479681705</v>
      </c>
      <c r="F8" s="34">
        <f>IFERROR('HISTORICAL(FS)'!F34/'HISTORICAL(FS)'!E34-1,0)</f>
        <v>0.11008091262663555</v>
      </c>
      <c r="G8" s="34">
        <f>IFERROR('HISTORICAL(FS)'!G34/'HISTORICAL(FS)'!F34-1,0)</f>
        <v>-0.46599700441966474</v>
      </c>
      <c r="H8" s="34">
        <f>IFERROR('HISTORICAL(FS)'!H34/'HISTORICAL(FS)'!G34-1,0)</f>
        <v>0.97423150485053456</v>
      </c>
      <c r="I8" s="34">
        <f>IFERROR('HISTORICAL(FS)'!I34/'HISTORICAL(FS)'!H34-1,0)</f>
        <v>4.0498476281552795</v>
      </c>
      <c r="J8" s="34">
        <f>IFERROR('HISTORICAL(FS)'!J34/'HISTORICAL(FS)'!I34-1,0)</f>
        <v>-0.83914467804534676</v>
      </c>
      <c r="K8" s="34">
        <f>IFERROR('HISTORICAL(FS)'!K34/'HISTORICAL(FS)'!J34-1,0)</f>
        <v>-0.83161120665673827</v>
      </c>
      <c r="L8" s="34">
        <f>IFERROR('HISTORICAL(FS)'!L34/'HISTORICAL(FS)'!K34-1,0)</f>
        <v>1.0966028367499554</v>
      </c>
      <c r="N8" s="34">
        <f t="shared" si="0"/>
        <v>-1.7675841674959196</v>
      </c>
      <c r="O8" s="34">
        <f t="shared" si="1"/>
        <v>-0.46599700441966474</v>
      </c>
    </row>
    <row r="9" spans="2:15" x14ac:dyDescent="0.3">
      <c r="B9" s="30" t="s">
        <v>119</v>
      </c>
      <c r="C9" s="31" t="s">
        <v>143</v>
      </c>
      <c r="D9" s="36">
        <f>IFERROR('HISTORICAL(FS)'!D42/'HISTORICAL(FS)'!C42-1,0)</f>
        <v>0.25000322086087157</v>
      </c>
      <c r="E9" s="36">
        <f>IFERROR('HISTORICAL(FS)'!E42/'HISTORICAL(FS)'!D42-1,0)</f>
        <v>0.18021550901743044</v>
      </c>
      <c r="F9" s="36">
        <f>IFERROR('HISTORICAL(FS)'!F42/'HISTORICAL(FS)'!E42-1,0)</f>
        <v>0.29997535883641424</v>
      </c>
      <c r="G9" s="36">
        <f>IFERROR('HISTORICAL(FS)'!G42/'HISTORICAL(FS)'!F42-1,0)</f>
        <v>-0.23076147861490703</v>
      </c>
      <c r="H9" s="36">
        <f>IFERROR('HISTORICAL(FS)'!H42/'HISTORICAL(FS)'!G42-1,0)</f>
        <v>1.4617851486157654</v>
      </c>
      <c r="I9" s="36">
        <f>IFERROR('HISTORICAL(FS)'!I42/'HISTORICAL(FS)'!H42-1,0)</f>
        <v>1.0381154123780019</v>
      </c>
      <c r="J9" s="36">
        <f>IFERROR('HISTORICAL(FS)'!J42/'HISTORICAL(FS)'!I42-1,0)</f>
        <v>-0.29459178519120255</v>
      </c>
      <c r="K9" s="36">
        <f>IFERROR('HISTORICAL(FS)'!K42/'HISTORICAL(FS)'!J42-1,0)</f>
        <v>1.5657976727423417E-5</v>
      </c>
      <c r="L9" s="36">
        <f>IFERROR('HISTORICAL(FS)'!L42/'HISTORICAL(FS)'!K42-1,0)</f>
        <v>0</v>
      </c>
      <c r="M9" s="30"/>
      <c r="N9" s="36">
        <f t="shared" si="0"/>
        <v>0.30052856043101134</v>
      </c>
      <c r="O9" s="36">
        <f t="shared" si="1"/>
        <v>0.18021550901743044</v>
      </c>
    </row>
    <row r="10" spans="2:15" x14ac:dyDescent="0.3">
      <c r="O10" s="10"/>
    </row>
    <row r="11" spans="2:15" x14ac:dyDescent="0.3">
      <c r="B11" s="27" t="s">
        <v>115</v>
      </c>
      <c r="C11" s="32">
        <f>IFERROR('HISTORICAL(FS)'!C14,0)</f>
        <v>0.22289533085561364</v>
      </c>
      <c r="D11" s="32">
        <f>IFERROR('HISTORICAL(FS)'!D14,0)</f>
        <v>0.30919420598966585</v>
      </c>
      <c r="E11" s="32">
        <f>IFERROR('HISTORICAL(FS)'!E14,0)</f>
        <v>0.31269217690648704</v>
      </c>
      <c r="F11" s="32">
        <f>IFERROR('HISTORICAL(FS)'!F14,0)</f>
        <v>0.33030553439836208</v>
      </c>
      <c r="G11" s="32">
        <f>IFERROR('HISTORICAL(FS)'!G14,0)</f>
        <v>0.26646118327109114</v>
      </c>
      <c r="H11" s="32">
        <f>IFERROR('HISTORICAL(FS)'!H14,0)</f>
        <v>0.34188745467396564</v>
      </c>
      <c r="I11" s="32">
        <f>IFERROR('HISTORICAL(FS)'!I14,0)</f>
        <v>0.41135563791268842</v>
      </c>
      <c r="J11" s="32">
        <f>IFERROR('HISTORICAL(FS)'!J14,0)</f>
        <v>0.26719790933891058</v>
      </c>
      <c r="K11" s="32">
        <f>IFERROR('HISTORICAL(FS)'!K14,0)</f>
        <v>0.20079322503505903</v>
      </c>
      <c r="L11" s="32">
        <f>IFERROR('HISTORICAL(FS)'!L14,0)</f>
        <v>0.21427190526913958</v>
      </c>
      <c r="M11" s="27"/>
      <c r="N11" s="32">
        <f>IFERROR(AVERAGE(C11:L11),0)</f>
        <v>0.28770545636509837</v>
      </c>
      <c r="O11" s="32">
        <f>IFERROR('HISTORICAL(FS)'!O14,0)</f>
        <v>0</v>
      </c>
    </row>
    <row r="12" spans="2:15" x14ac:dyDescent="0.3">
      <c r="B12" t="s">
        <v>120</v>
      </c>
      <c r="C12" s="33">
        <f>IFERROR('HISTORICAL(FS)'!C20,0)</f>
        <v>-6.1319248461624209E-3</v>
      </c>
      <c r="D12" s="34">
        <f>IFERROR('HISTORICAL(FS)'!D20,0)</f>
        <v>0.11704094286506557</v>
      </c>
      <c r="E12" s="34">
        <f>IFERROR('HISTORICAL(FS)'!E20,0)</f>
        <v>0.17390143390128623</v>
      </c>
      <c r="F12" s="34">
        <f>IFERROR('HISTORICAL(FS)'!F20,0)</f>
        <v>0.18594791531296043</v>
      </c>
      <c r="G12" s="34">
        <f>IFERROR('HISTORICAL(FS)'!G20,0)</f>
        <v>0.12489971687921292</v>
      </c>
      <c r="H12" s="34">
        <f>IFERROR('HISTORICAL(FS)'!H20,0)</f>
        <v>0.19494355095368399</v>
      </c>
      <c r="I12" s="34">
        <f>IFERROR('HISTORICAL(FS)'!I20,0)</f>
        <v>0.26024826203499546</v>
      </c>
      <c r="J12" s="34">
        <f>IFERROR('HISTORICAL(FS)'!J20,0)</f>
        <v>0.13272982517678361</v>
      </c>
      <c r="K12" s="34">
        <f>IFERROR('HISTORICAL(FS)'!K20,0)</f>
        <v>9.708009022790777E-2</v>
      </c>
      <c r="L12" s="34">
        <f>IFERROR('HISTORICAL(FS)'!L20,0)</f>
        <v>0.11575985834517957</v>
      </c>
      <c r="N12" s="34">
        <f t="shared" ref="N12:N40" si="2">IFERROR(AVERAGE(C12:L12),0)</f>
        <v>0.1396419670850913</v>
      </c>
      <c r="O12" s="34">
        <f>IFERROR('HISTORICAL(FS)'!O20,0)</f>
        <v>0</v>
      </c>
    </row>
    <row r="13" spans="2:15" x14ac:dyDescent="0.3">
      <c r="B13" t="s">
        <v>121</v>
      </c>
      <c r="C13" s="33">
        <f>IFERROR(('HISTORICAL(FS)'!C19-'HISTORICAL(FS)'!C25)/'HISTORICAL(FS)'!C7,0)</f>
        <v>-5.8172964138968795E-2</v>
      </c>
      <c r="D13" s="34">
        <f>IFERROR(('HISTORICAL(FS)'!D19-'HISTORICAL(FS)'!D25)/'HISTORICAL(FS)'!D7,0)</f>
        <v>6.6525276800182942E-2</v>
      </c>
      <c r="E13" s="34">
        <f>IFERROR(('HISTORICAL(FS)'!E19-'HISTORICAL(FS)'!E25)/'HISTORICAL(FS)'!E7,0)</f>
        <v>0.12731528116195928</v>
      </c>
      <c r="F13" s="34">
        <f>IFERROR(('HISTORICAL(FS)'!F19-'HISTORICAL(FS)'!F25)/'HISTORICAL(FS)'!F7,0)</f>
        <v>0.13938308350931911</v>
      </c>
      <c r="G13" s="34">
        <f>IFERROR(('HISTORICAL(FS)'!G19-'HISTORICAL(FS)'!G25)/'HISTORICAL(FS)'!G7,0)</f>
        <v>6.4529725179368877E-2</v>
      </c>
      <c r="H13" s="34">
        <f>IFERROR(('HISTORICAL(FS)'!H19-'HISTORICAL(FS)'!H25)/'HISTORICAL(FS)'!H7,0)</f>
        <v>0.13593413489743561</v>
      </c>
      <c r="I13" s="34">
        <f>IFERROR(('HISTORICAL(FS)'!I19-'HISTORICAL(FS)'!I25)/'HISTORICAL(FS)'!I7,0)</f>
        <v>0.22294337204049353</v>
      </c>
      <c r="J13" s="34">
        <f>IFERROR(('HISTORICAL(FS)'!J19-'HISTORICAL(FS)'!J25)/'HISTORICAL(FS)'!J7,0)</f>
        <v>9.4369041081896476E-2</v>
      </c>
      <c r="K13" s="34">
        <f>IFERROR(('HISTORICAL(FS)'!K19-'HISTORICAL(FS)'!K25)/'HISTORICAL(FS)'!K7,0)</f>
        <v>5.3958711490182137E-2</v>
      </c>
      <c r="L13" s="34">
        <f>IFERROR(('HISTORICAL(FS)'!L19-'HISTORICAL(FS)'!L25)/'HISTORICAL(FS)'!L7,0)</f>
        <v>6.8074261616195356E-2</v>
      </c>
      <c r="N13" s="34">
        <f t="shared" si="2"/>
        <v>9.1485992363806459E-2</v>
      </c>
      <c r="O13" s="34">
        <f>IFERROR(('HISTORICAL(FS)'!O19-'HISTORICAL(FS)'!O25)/'HISTORICAL(FS)'!O7,0)</f>
        <v>0</v>
      </c>
    </row>
    <row r="14" spans="2:15" x14ac:dyDescent="0.3">
      <c r="B14" t="s">
        <v>123</v>
      </c>
      <c r="C14" s="33">
        <f>IFERROR('HISTORICAL(FS)'!C29,0)</f>
        <v>-9.9573656456860712E-2</v>
      </c>
      <c r="D14" s="34">
        <f>IFERROR('HISTORICAL(FS)'!D29,0)</f>
        <v>2.1358525271101145E-2</v>
      </c>
      <c r="E14" s="34">
        <f>IFERROR('HISTORICAL(FS)'!E29,0)</f>
        <v>8.3057421853162894E-2</v>
      </c>
      <c r="F14" s="34">
        <f>IFERROR('HISTORICAL(FS)'!F29,0)</f>
        <v>9.0799655658351089E-2</v>
      </c>
      <c r="G14" s="34">
        <f>IFERROR('HISTORICAL(FS)'!G29,0)</f>
        <v>1.0648731749759463E-2</v>
      </c>
      <c r="H14" s="34">
        <f>IFERROR('HISTORICAL(FS)'!H29,0)</f>
        <v>8.7321939142649282E-2</v>
      </c>
      <c r="I14" s="34">
        <f>IFERROR('HISTORICAL(FS)'!I29,0)</f>
        <v>0.20055355984364109</v>
      </c>
      <c r="J14" s="34">
        <f>IFERROR('HISTORICAL(FS)'!J29,0)</f>
        <v>6.8486031528971453E-2</v>
      </c>
      <c r="K14" s="34">
        <f>IFERROR('HISTORICAL(FS)'!K29,0)</f>
        <v>2.11989940427833E-2</v>
      </c>
      <c r="L14" s="34">
        <f>IFERROR('HISTORICAL(FS)'!L29,0)</f>
        <v>3.4483771601232137E-2</v>
      </c>
      <c r="N14" s="34">
        <f t="shared" si="2"/>
        <v>5.1833497423479112E-2</v>
      </c>
      <c r="O14" s="34">
        <f>IFERROR('HISTORICAL(FS)'!O29,0)</f>
        <v>0</v>
      </c>
    </row>
    <row r="15" spans="2:15" x14ac:dyDescent="0.3">
      <c r="B15" s="30" t="s">
        <v>122</v>
      </c>
      <c r="C15" s="35">
        <f>IFERROR('HISTORICAL(FS)'!C35,0)</f>
        <v>-0.1063403106486243</v>
      </c>
      <c r="D15" s="36">
        <f>IFERROR('HISTORICAL(FS)'!D35,0)</f>
        <v>-3.3790023136361625E-3</v>
      </c>
      <c r="E15" s="36">
        <f>IFERROR('HISTORICAL(FS)'!E35,0)</f>
        <v>5.5533238506383892E-2</v>
      </c>
      <c r="F15" s="36">
        <f>IFERROR('HISTORICAL(FS)'!F35,0)</f>
        <v>4.8188676796876807E-2</v>
      </c>
      <c r="G15" s="36">
        <f>IFERROR('HISTORICAL(FS)'!G35,0)</f>
        <v>2.9018575398566667E-2</v>
      </c>
      <c r="H15" s="36">
        <f>IFERROR('HISTORICAL(FS)'!H35,0)</f>
        <v>5.1189564755038039E-2</v>
      </c>
      <c r="I15" s="36">
        <f>IFERROR('HISTORICAL(FS)'!I35,0)</f>
        <v>0.16580368755968475</v>
      </c>
      <c r="J15" s="36">
        <f>IFERROR('HISTORICAL(FS)'!J35,0)</f>
        <v>2.6736873136680824E-2</v>
      </c>
      <c r="K15" s="36">
        <f>IFERROR('HISTORICAL(FS)'!K35,0)</f>
        <v>4.7808014616872278E-3</v>
      </c>
      <c r="L15" s="36">
        <f>IFERROR('HISTORICAL(FS)'!L35,0)</f>
        <v>1.0510907008435067E-2</v>
      </c>
      <c r="M15" s="30"/>
      <c r="N15" s="36">
        <f t="shared" si="2"/>
        <v>2.820430116610928E-2</v>
      </c>
      <c r="O15" s="36">
        <f t="shared" si="1"/>
        <v>2.7877724267623746E-2</v>
      </c>
    </row>
    <row r="16" spans="2:15" x14ac:dyDescent="0.3">
      <c r="N16" s="10"/>
      <c r="O16" s="10"/>
    </row>
    <row r="17" spans="2:15" x14ac:dyDescent="0.3">
      <c r="B17" s="27" t="s">
        <v>124</v>
      </c>
      <c r="C17" s="32">
        <f>IFERROR('HISTORICAL(FS)'!C17,0)</f>
        <v>0.22902725570177607</v>
      </c>
      <c r="D17" s="32">
        <f>IFERROR('HISTORICAL(FS)'!D17,0)</f>
        <v>0.19215326312460029</v>
      </c>
      <c r="E17" s="32">
        <f>IFERROR('HISTORICAL(FS)'!E17,0)</f>
        <v>0.13879074300520078</v>
      </c>
      <c r="F17" s="32">
        <f>IFERROR('HISTORICAL(FS)'!F17,0)</f>
        <v>0.14435761908540165</v>
      </c>
      <c r="G17" s="32">
        <f>IFERROR('HISTORICAL(FS)'!G17,0)</f>
        <v>0.14156146639187825</v>
      </c>
      <c r="H17" s="32">
        <f>IFERROR('HISTORICAL(FS)'!H17,0)</f>
        <v>0.14694390372028165</v>
      </c>
      <c r="I17" s="32">
        <f>IFERROR('HISTORICAL(FS)'!I17,0)</f>
        <v>0.15110737587769296</v>
      </c>
      <c r="J17" s="32">
        <f>IFERROR('HISTORICAL(FS)'!J17,0)</f>
        <v>0.13446808416212699</v>
      </c>
      <c r="K17" s="32">
        <f>IFERROR('HISTORICAL(FS)'!K17,0)</f>
        <v>0.10371313480715125</v>
      </c>
      <c r="L17" s="32">
        <f>IFERROR('HISTORICAL(FS)'!L17,0)</f>
        <v>9.8512046923960012E-2</v>
      </c>
      <c r="M17" s="27"/>
      <c r="N17" s="32">
        <f t="shared" si="2"/>
        <v>0.14806348928000698</v>
      </c>
      <c r="O17" s="32">
        <f t="shared" si="1"/>
        <v>0.14295954273863995</v>
      </c>
    </row>
    <row r="18" spans="2:15" x14ac:dyDescent="0.3">
      <c r="B18" t="s">
        <v>65</v>
      </c>
      <c r="C18" s="33">
        <f>IFERROR('HISTORICAL(FS)'!C26,0)</f>
        <v>5.2041039292806381E-2</v>
      </c>
      <c r="D18" s="34">
        <f>IFERROR('HISTORICAL(FS)'!D26,0)</f>
        <v>5.0515666064882614E-2</v>
      </c>
      <c r="E18" s="34">
        <f>IFERROR('HISTORICAL(FS)'!E26,0)</f>
        <v>4.6586152739326953E-2</v>
      </c>
      <c r="F18" s="34">
        <f>IFERROR('HISTORICAL(FS)'!F26,0)</f>
        <v>4.6564831803641286E-2</v>
      </c>
      <c r="G18" s="34">
        <f>IFERROR('HISTORICAL(FS)'!G26,0)</f>
        <v>6.0369991699844042E-2</v>
      </c>
      <c r="H18" s="34">
        <f>IFERROR('HISTORICAL(FS)'!H26,0)</f>
        <v>5.9009416056248376E-2</v>
      </c>
      <c r="I18" s="34">
        <f>IFERROR('HISTORICAL(FS)'!I26,0)</f>
        <v>3.7304889994501947E-2</v>
      </c>
      <c r="J18" s="34">
        <f>IFERROR('HISTORICAL(FS)'!J26,0)</f>
        <v>3.8360784094887142E-2</v>
      </c>
      <c r="K18" s="34">
        <f>IFERROR('HISTORICAL(FS)'!K26,0)</f>
        <v>4.3121378737725639E-2</v>
      </c>
      <c r="L18" s="34">
        <f>IFERROR('HISTORICAL(FS)'!L26,0)</f>
        <v>4.768559672898421E-2</v>
      </c>
      <c r="N18" s="34">
        <f t="shared" si="2"/>
        <v>4.8155974721284855E-2</v>
      </c>
      <c r="O18" s="34">
        <f t="shared" si="1"/>
        <v>4.7135874734155578E-2</v>
      </c>
    </row>
    <row r="19" spans="2:15" x14ac:dyDescent="0.3">
      <c r="B19" s="30" t="s">
        <v>125</v>
      </c>
      <c r="C19" s="35">
        <f>IFERROR(C13,0)</f>
        <v>-5.8172964138968795E-2</v>
      </c>
      <c r="D19" s="36">
        <f t="shared" ref="D19:L19" si="3">IFERROR(D13,0)</f>
        <v>6.6525276800182942E-2</v>
      </c>
      <c r="E19" s="36">
        <f t="shared" si="3"/>
        <v>0.12731528116195928</v>
      </c>
      <c r="F19" s="36">
        <f t="shared" si="3"/>
        <v>0.13938308350931911</v>
      </c>
      <c r="G19" s="36">
        <f t="shared" si="3"/>
        <v>6.4529725179368877E-2</v>
      </c>
      <c r="H19" s="36">
        <f t="shared" si="3"/>
        <v>0.13593413489743561</v>
      </c>
      <c r="I19" s="36">
        <f t="shared" si="3"/>
        <v>0.22294337204049353</v>
      </c>
      <c r="J19" s="36">
        <f t="shared" si="3"/>
        <v>9.4369041081896476E-2</v>
      </c>
      <c r="K19" s="36">
        <f t="shared" si="3"/>
        <v>5.3958711490182137E-2</v>
      </c>
      <c r="L19" s="36">
        <f t="shared" si="3"/>
        <v>6.8074261616195356E-2</v>
      </c>
      <c r="M19" s="30"/>
      <c r="N19" s="36">
        <f t="shared" si="2"/>
        <v>9.1485992363806459E-2</v>
      </c>
      <c r="O19" s="36">
        <f t="shared" si="1"/>
        <v>8.1221651349045909E-2</v>
      </c>
    </row>
    <row r="20" spans="2:15" x14ac:dyDescent="0.3">
      <c r="N20" s="10"/>
      <c r="O20" s="10"/>
    </row>
    <row r="21" spans="2:15" x14ac:dyDescent="0.3">
      <c r="B21" s="37" t="s">
        <v>126</v>
      </c>
      <c r="C21" s="38">
        <f>IFERROR(('HISTORICAL(FS)'!C19-'HISTORICAL(FS)'!C25)/(SUM('HISTORICAL(FS)'!C50:C52)),0)</f>
        <v>-4.7181152833276084E-2</v>
      </c>
      <c r="D21" s="38">
        <f>IFERROR(('HISTORICAL(FS)'!D19-'HISTORICAL(FS)'!D25)/(SUM('HISTORICAL(FS)'!D50:D52)),0)</f>
        <v>6.1826652656239184E-2</v>
      </c>
      <c r="E21" s="38">
        <f>IFERROR(('HISTORICAL(FS)'!E19-'HISTORICAL(FS)'!E25)/(SUM('HISTORICAL(FS)'!E50:E52)),0)</f>
        <v>0.10254691500661331</v>
      </c>
      <c r="F21" s="38">
        <f>IFERROR(('HISTORICAL(FS)'!F19-'HISTORICAL(FS)'!F25)/(SUM('HISTORICAL(FS)'!F50:F52)),0)</f>
        <v>0.12946990508497344</v>
      </c>
      <c r="G21" s="38">
        <f>IFERROR(('HISTORICAL(FS)'!G19-'HISTORICAL(FS)'!G25)/(SUM('HISTORICAL(FS)'!G50:G52)),0)</f>
        <v>4.7509827307936389E-2</v>
      </c>
      <c r="H21" s="38">
        <f>IFERROR(('HISTORICAL(FS)'!H19-'HISTORICAL(FS)'!H25)/(SUM('HISTORICAL(FS)'!H50:H52)),0)</f>
        <v>0.13070294010981179</v>
      </c>
      <c r="I21" s="38">
        <f>IFERROR(('HISTORICAL(FS)'!I19-'HISTORICAL(FS)'!I25)/(SUM('HISTORICAL(FS)'!I50:I52)),0)</f>
        <v>0.28625170186857263</v>
      </c>
      <c r="J21" s="38">
        <f>IFERROR(('HISTORICAL(FS)'!J19-'HISTORICAL(FS)'!J25)/(SUM('HISTORICAL(FS)'!J50:J52)),0)</f>
        <v>0.12217019111302752</v>
      </c>
      <c r="K21" s="38">
        <f>IFERROR(('HISTORICAL(FS)'!K19-'HISTORICAL(FS)'!K25)/(SUM('HISTORICAL(FS)'!K50:K52)),0)</f>
        <v>6.9036993961741858E-2</v>
      </c>
      <c r="L21" s="32">
        <f>IFERROR(('HISTORICAL(FS)'!L19-'HISTORICAL(FS)'!L25)/(SUM('HISTORICAL(FS)'!L50:L52)),0)</f>
        <v>7.9997126428746679E-2</v>
      </c>
      <c r="M21" s="27"/>
      <c r="N21" s="32">
        <f t="shared" si="2"/>
        <v>9.8233110070438681E-2</v>
      </c>
      <c r="O21" s="32">
        <f t="shared" si="1"/>
        <v>9.1272020717679994E-2</v>
      </c>
    </row>
    <row r="22" spans="2:15" x14ac:dyDescent="0.3">
      <c r="B22" t="s">
        <v>127</v>
      </c>
      <c r="C22" s="34">
        <f>IFERROR('HISTORICAL(FS)'!C45,0)</f>
        <v>0</v>
      </c>
      <c r="D22" s="34">
        <f>IFERROR('HISTORICAL(FS)'!D45,0)</f>
        <v>0</v>
      </c>
      <c r="E22" s="34">
        <f>IFERROR('HISTORICAL(FS)'!E45,0)</f>
        <v>0.83271774671922538</v>
      </c>
      <c r="F22" s="34">
        <f>IFERROR('HISTORICAL(FS)'!F45,0)</f>
        <v>0.80410010187078995</v>
      </c>
      <c r="G22" s="34">
        <f>IFERROR('HISTORICAL(FS)'!G45,0)</f>
        <v>0.71780355311933164</v>
      </c>
      <c r="H22" s="34">
        <f>IFERROR('HISTORICAL(FS)'!H45,0)</f>
        <v>0.62621519823321026</v>
      </c>
      <c r="I22" s="34">
        <f>IFERROR('HISTORICAL(FS)'!I45,0)</f>
        <v>0.84602538534012806</v>
      </c>
      <c r="J22" s="34">
        <f>IFERROR('HISTORICAL(FS)'!J45,0)</f>
        <v>0.3242962027145222</v>
      </c>
      <c r="K22" s="34">
        <f>IFERROR('HISTORICAL(FS)'!K45,0)</f>
        <v>0</v>
      </c>
      <c r="L22" s="34">
        <f>IFERROR('HISTORICAL(FS)'!L45,0)</f>
        <v>0</v>
      </c>
      <c r="N22" s="34">
        <f t="shared" si="2"/>
        <v>0.4151158187997207</v>
      </c>
      <c r="O22" s="34">
        <f t="shared" si="1"/>
        <v>0.47525570047386623</v>
      </c>
    </row>
    <row r="23" spans="2:15" x14ac:dyDescent="0.3">
      <c r="B23" t="s">
        <v>128</v>
      </c>
      <c r="C23" s="34">
        <f>IFERROR('HISTORICAL(FS)'!C34/SUM('HISTORICAL(FS)'!C50:C51),0)</f>
        <v>-0.24793797754761607</v>
      </c>
      <c r="D23" s="34">
        <f>IFERROR('HISTORICAL(FS)'!D34/SUM('HISTORICAL(FS)'!D50:D51),0)</f>
        <v>-1.0033496107280595E-2</v>
      </c>
      <c r="E23" s="34">
        <f>IFERROR('HISTORICAL(FS)'!E34/SUM('HISTORICAL(FS)'!E50:E51),0)</f>
        <v>0.1124420943962786</v>
      </c>
      <c r="F23" s="34">
        <f>IFERROR('HISTORICAL(FS)'!F34/SUM('HISTORICAL(FS)'!F50:F51),0)</f>
        <v>0.11023360437158725</v>
      </c>
      <c r="G23" s="34">
        <f>IFERROR('HISTORICAL(FS)'!G34/SUM('HISTORICAL(FS)'!G50:G51),0)</f>
        <v>5.5143843873638736E-2</v>
      </c>
      <c r="H23" s="34">
        <f>IFERROR('HISTORICAL(FS)'!H34/SUM('HISTORICAL(FS)'!H50:H51),0)</f>
        <v>0.10789524126005844</v>
      </c>
      <c r="I23" s="34">
        <f>IFERROR('HISTORICAL(FS)'!I34/SUM('HISTORICAL(FS)'!I50:I51),0)</f>
        <v>0.35344508499599464</v>
      </c>
      <c r="J23" s="34">
        <f>IFERROR('HISTORICAL(FS)'!J34/SUM('HISTORICAL(FS)'!J50:J51),0)</f>
        <v>6.3119494073170954E-2</v>
      </c>
      <c r="K23" s="34">
        <f>IFERROR('HISTORICAL(FS)'!K34/SUM('HISTORICAL(FS)'!K50:K51),0)</f>
        <v>1.1904285899306987E-2</v>
      </c>
      <c r="L23" s="34">
        <f>IFERROR('HISTORICAL(FS)'!L34/SUM('HISTORICAL(FS)'!L50:L51),0)</f>
        <v>2.5195670970694854E-2</v>
      </c>
      <c r="N23" s="34">
        <f t="shared" si="2"/>
        <v>5.8140784618583387E-2</v>
      </c>
      <c r="O23" s="34">
        <f t="shared" si="1"/>
        <v>5.9131668973404841E-2</v>
      </c>
    </row>
    <row r="24" spans="2:15" x14ac:dyDescent="0.3">
      <c r="B24" t="s">
        <v>129</v>
      </c>
      <c r="C24" s="34">
        <f>IFERROR('Ratio Analysis'!C22*'Ratio Analysis'!C23,0)</f>
        <v>0</v>
      </c>
      <c r="D24" s="34">
        <f>IFERROR('Ratio Analysis'!D22*'Ratio Analysis'!D23,0)</f>
        <v>0</v>
      </c>
      <c r="E24" s="34">
        <f>IFERROR('Ratio Analysis'!E22*'Ratio Analysis'!E23,0)</f>
        <v>9.3632527482059552E-2</v>
      </c>
      <c r="F24" s="34">
        <f>IFERROR('Ratio Analysis'!F22*'Ratio Analysis'!F23,0)</f>
        <v>8.8638852504777654E-2</v>
      </c>
      <c r="G24" s="34">
        <f>IFERROR('Ratio Analysis'!G22*'Ratio Analysis'!G23,0)</f>
        <v>3.9582447065155575E-2</v>
      </c>
      <c r="H24" s="34">
        <f>IFERROR('Ratio Analysis'!H22*'Ratio Analysis'!H23,0)</f>
        <v>6.7565639894087537E-2</v>
      </c>
      <c r="I24" s="34">
        <f>IFERROR('Ratio Analysis'!I22*'Ratio Analysis'!I23,0)</f>
        <v>0.29902351423031071</v>
      </c>
      <c r="J24" s="34">
        <f>IFERROR('Ratio Analysis'!J22*'Ratio Analysis'!J23,0)</f>
        <v>2.0469412245191131E-2</v>
      </c>
      <c r="K24" s="34">
        <f>IFERROR('Ratio Analysis'!K22*'Ratio Analysis'!K23,0)</f>
        <v>0</v>
      </c>
      <c r="L24" s="34">
        <f>IFERROR('Ratio Analysis'!L22*'Ratio Analysis'!L23,0)</f>
        <v>0</v>
      </c>
      <c r="N24" s="34">
        <f t="shared" si="2"/>
        <v>6.0891239342158218E-2</v>
      </c>
      <c r="O24" s="34">
        <f t="shared" si="1"/>
        <v>3.0025929655173353E-2</v>
      </c>
    </row>
    <row r="25" spans="2:15" x14ac:dyDescent="0.3">
      <c r="B25" s="39" t="s">
        <v>130</v>
      </c>
      <c r="C25" s="40">
        <f>IFERROR(('HISTORICAL(FS)'!C19-'HISTORICAL(FS)'!C25)/'HISTORICAL(FS)'!C22,0)</f>
        <v>-1.4051205639821753</v>
      </c>
      <c r="D25" s="40">
        <f>IFERROR(('HISTORICAL(FS)'!D19-'HISTORICAL(FS)'!D25)/'HISTORICAL(FS)'!D22,0)</f>
        <v>1.4728815898426721</v>
      </c>
      <c r="E25" s="40">
        <f>IFERROR(('HISTORICAL(FS)'!E19-'HISTORICAL(FS)'!E25)/'HISTORICAL(FS)'!E22,0)</f>
        <v>2.8766705654165006</v>
      </c>
      <c r="F25" s="40">
        <f>IFERROR(('HISTORICAL(FS)'!F19-'HISTORICAL(FS)'!F25)/'HISTORICAL(FS)'!F22,0)</f>
        <v>2.868942964191068</v>
      </c>
      <c r="G25" s="40">
        <f>IFERROR(('HISTORICAL(FS)'!G19-'HISTORICAL(FS)'!G25)/'HISTORICAL(FS)'!G22,0)</f>
        <v>1.1976342875650769</v>
      </c>
      <c r="H25" s="40">
        <f>IFERROR(('HISTORICAL(FS)'!H19-'HISTORICAL(FS)'!H25)/'HISTORICAL(FS)'!H22,0)</f>
        <v>2.7962969536106921</v>
      </c>
      <c r="I25" s="40">
        <f>IFERROR(('HISTORICAL(FS)'!I19-'HISTORICAL(FS)'!I25)/'HISTORICAL(FS)'!I22,0)</f>
        <v>9.9573578411629029</v>
      </c>
      <c r="J25" s="40">
        <f>IFERROR(('HISTORICAL(FS)'!J19-'HISTORICAL(FS)'!J25)/'HISTORICAL(FS)'!J22,0)</f>
        <v>3.6459840919554858</v>
      </c>
      <c r="K25" s="40">
        <f>IFERROR(('HISTORICAL(FS)'!K19-'HISTORICAL(FS)'!K25)/'HISTORICAL(FS)'!K22,0)</f>
        <v>1.6471055214936394</v>
      </c>
      <c r="L25" s="43">
        <f>IFERROR(('HISTORICAL(FS)'!L19-'HISTORICAL(FS)'!L25)/'HISTORICAL(FS)'!L22,0)</f>
        <v>2.0265932883346149</v>
      </c>
      <c r="M25" s="30"/>
      <c r="N25" s="46">
        <f t="shared" si="2"/>
        <v>2.7084346539590478</v>
      </c>
      <c r="O25" s="46">
        <f t="shared" si="1"/>
        <v>2.4114451209726537</v>
      </c>
    </row>
    <row r="26" spans="2:15" x14ac:dyDescent="0.3">
      <c r="N26" s="45"/>
      <c r="O26" s="45"/>
    </row>
    <row r="27" spans="2:15" x14ac:dyDescent="0.3">
      <c r="B27" s="27" t="s">
        <v>131</v>
      </c>
      <c r="C27" s="41">
        <f>IFERROR('HISTORICAL(FS)'!C7/'HISTORICAL(FS)'!C62,0)</f>
        <v>8.4504277230151619</v>
      </c>
      <c r="D27" s="41">
        <f>IFERROR('HISTORICAL(FS)'!D7/'HISTORICAL(FS)'!D62,0)</f>
        <v>9.691996596132503</v>
      </c>
      <c r="E27" s="41">
        <f>IFERROR('HISTORICAL(FS)'!E7/'HISTORICAL(FS)'!E62,0)</f>
        <v>9.9270163472814676</v>
      </c>
      <c r="F27" s="41">
        <f>IFERROR('HISTORICAL(FS)'!F7/'HISTORICAL(FS)'!F62,0)</f>
        <v>13.349334518669037</v>
      </c>
      <c r="G27" s="41">
        <f>IFERROR('HISTORICAL(FS)'!G7/'HISTORICAL(FS)'!G62,0)</f>
        <v>17.732180836559959</v>
      </c>
      <c r="H27" s="41">
        <f>IFERROR('HISTORICAL(FS)'!H7/'HISTORICAL(FS)'!H62,0)</f>
        <v>16.402518281229035</v>
      </c>
      <c r="I27" s="41">
        <f>IFERROR('HISTORICAL(FS)'!I7/'HISTORICAL(FS)'!I62,0)</f>
        <v>19.920839787595241</v>
      </c>
      <c r="J27" s="41">
        <f>IFERROR('HISTORICAL(FS)'!J7/'HISTORICAL(FS)'!J62,0)</f>
        <v>29.471432343010498</v>
      </c>
      <c r="K27" s="41">
        <f>IFERROR('HISTORICAL(FS)'!K7/'HISTORICAL(FS)'!K62,0)</f>
        <v>36.588118840334445</v>
      </c>
      <c r="L27" s="41">
        <f>IFERROR('HISTORICAL(FS)'!L7/'HISTORICAL(FS)'!L62,0)</f>
        <v>41.547531777204064</v>
      </c>
      <c r="M27" s="27"/>
      <c r="N27" s="47">
        <f t="shared" si="2"/>
        <v>20.308139705103141</v>
      </c>
      <c r="O27" s="47">
        <f t="shared" si="1"/>
        <v>17.067349558894499</v>
      </c>
    </row>
    <row r="28" spans="2:15" x14ac:dyDescent="0.3">
      <c r="B28" t="s">
        <v>132</v>
      </c>
      <c r="C28" s="42">
        <f>IFERROR('HISTORICAL(FS)'!C7/'HISTORICAL(FS)'!C53,0)</f>
        <v>1.9928798301791613</v>
      </c>
      <c r="D28" s="42">
        <f>IFERROR('HISTORICAL(FS)'!D7/'HISTORICAL(FS)'!D53,0)</f>
        <v>2.1757735757812484</v>
      </c>
      <c r="E28" s="42">
        <f>IFERROR('HISTORICAL(FS)'!E7/'HISTORICAL(FS)'!E53,0)</f>
        <v>2.2125526012544414</v>
      </c>
      <c r="F28" s="42">
        <f>IFERROR('HISTORICAL(FS)'!F7/'HISTORICAL(FS)'!F53,0)</f>
        <v>2.5014062667077459</v>
      </c>
      <c r="G28" s="42">
        <f>IFERROR('HISTORICAL(FS)'!G7/'HISTORICAL(FS)'!G53,0)</f>
        <v>2.3599889745262943</v>
      </c>
      <c r="H28" s="42">
        <f>IFERROR('HISTORICAL(FS)'!H7/'HISTORICAL(FS)'!H53,0)</f>
        <v>1.9277973206769432</v>
      </c>
      <c r="I28" s="42">
        <f>IFERROR('HISTORICAL(FS)'!I7/'HISTORICAL(FS)'!I53,0)</f>
        <v>2.6397570887176078</v>
      </c>
      <c r="J28" s="42">
        <f>IFERROR('HISTORICAL(FS)'!J7/'HISTORICAL(FS)'!J53,0)</f>
        <v>2.4979584919539115</v>
      </c>
      <c r="K28" s="42">
        <f>IFERROR('HISTORICAL(FS)'!K7/'HISTORICAL(FS)'!K53,0)</f>
        <v>2.5408498119730973</v>
      </c>
      <c r="L28" s="42">
        <f>IFERROR('HISTORICAL(FS)'!L7/'HISTORICAL(FS)'!L53,0)</f>
        <v>2.4421459214038994</v>
      </c>
      <c r="N28" s="48">
        <f t="shared" si="2"/>
        <v>2.329110988317435</v>
      </c>
      <c r="O28" s="48">
        <f t="shared" si="1"/>
        <v>2.4010674479650969</v>
      </c>
    </row>
    <row r="29" spans="2:15" x14ac:dyDescent="0.3">
      <c r="B29" t="s">
        <v>133</v>
      </c>
      <c r="C29" s="42">
        <f>IFERROR('HISTORICAL(FS)'!C7/'HISTORICAL(FS)'!C63,0)</f>
        <v>5.0948402889474158</v>
      </c>
      <c r="D29" s="42">
        <f>IFERROR('HISTORICAL(FS)'!D7/'HISTORICAL(FS)'!D63,0)</f>
        <v>4.527505037530509</v>
      </c>
      <c r="E29" s="42">
        <f>IFERROR('HISTORICAL(FS)'!E7/'HISTORICAL(FS)'!E63,0)</f>
        <v>4.3503192964324642</v>
      </c>
      <c r="F29" s="42">
        <f>IFERROR('HISTORICAL(FS)'!F7/'HISTORICAL(FS)'!F63,0)</f>
        <v>4.980682712020748</v>
      </c>
      <c r="G29" s="42">
        <f>IFERROR('HISTORICAL(FS)'!G7/'HISTORICAL(FS)'!G63,0)</f>
        <v>4.50023850354955</v>
      </c>
      <c r="H29" s="42">
        <f>IFERROR('HISTORICAL(FS)'!H7/'HISTORICAL(FS)'!H63,0)</f>
        <v>4.7023564462240186</v>
      </c>
      <c r="I29" s="42">
        <f>IFERROR('HISTORICAL(FS)'!I7/'HISTORICAL(FS)'!I63,0)</f>
        <v>4.9966660105738141</v>
      </c>
      <c r="J29" s="42">
        <f>IFERROR('HISTORICAL(FS)'!J7/'HISTORICAL(FS)'!J63,0)</f>
        <v>4.4721347826062985</v>
      </c>
      <c r="K29" s="42">
        <f>IFERROR('HISTORICAL(FS)'!K7/'HISTORICAL(FS)'!K63,0)</f>
        <v>4.6619688426041108</v>
      </c>
      <c r="L29" s="42">
        <f>IFERROR('HISTORICAL(FS)'!L7/'HISTORICAL(FS)'!L63,0)</f>
        <v>4.9011617867169139</v>
      </c>
      <c r="N29" s="48">
        <f t="shared" si="2"/>
        <v>4.7187873707205839</v>
      </c>
      <c r="O29" s="48">
        <f t="shared" si="1"/>
        <v>4.6821626444140652</v>
      </c>
    </row>
    <row r="30" spans="2:15" x14ac:dyDescent="0.3">
      <c r="B30" t="s">
        <v>134</v>
      </c>
      <c r="C30" s="42">
        <f>IFERROR('HISTORICAL(FS)'!C7/'HISTORICAL(FS)'!C56,0)</f>
        <v>1.4122584341000581</v>
      </c>
      <c r="D30" s="42">
        <f>IFERROR('HISTORICAL(FS)'!D7/'HISTORICAL(FS)'!D56,0)</f>
        <v>1.220558971073255</v>
      </c>
      <c r="E30" s="42">
        <f>IFERROR('HISTORICAL(FS)'!E7/'HISTORICAL(FS)'!E56,0)</f>
        <v>1.2824432762994682</v>
      </c>
      <c r="F30" s="42">
        <f>IFERROR('HISTORICAL(FS)'!F7/'HISTORICAL(FS)'!F56,0)</f>
        <v>1.2670087593480364</v>
      </c>
      <c r="G30" s="42">
        <f>IFERROR('HISTORICAL(FS)'!G7/'HISTORICAL(FS)'!G56,0)</f>
        <v>1.0391376006628283</v>
      </c>
      <c r="H30" s="42">
        <f>IFERROR('HISTORICAL(FS)'!H7/'HISTORICAL(FS)'!H56,0)</f>
        <v>1.1524742592865647</v>
      </c>
      <c r="I30" s="42">
        <f>IFERROR('HISTORICAL(FS)'!I7/'HISTORICAL(FS)'!I56,0)</f>
        <v>1.8303184169177338</v>
      </c>
      <c r="J30" s="42">
        <f>IFERROR('HISTORICAL(FS)'!J7/'HISTORICAL(FS)'!J56,0)</f>
        <v>1.6597344617902456</v>
      </c>
      <c r="K30" s="42">
        <f>IFERROR('HISTORICAL(FS)'!K7/'HISTORICAL(FS)'!K56,0)</f>
        <v>1.5399773865939568</v>
      </c>
      <c r="L30" s="42">
        <f>IFERROR('HISTORICAL(FS)'!L7/'HISTORICAL(FS)'!L56,0)</f>
        <v>1.4481255755759272</v>
      </c>
      <c r="N30" s="48">
        <f t="shared" si="2"/>
        <v>1.3852037141648075</v>
      </c>
      <c r="O30" s="48">
        <f t="shared" si="1"/>
        <v>1.3473508551997631</v>
      </c>
    </row>
    <row r="31" spans="2:15" x14ac:dyDescent="0.3">
      <c r="B31" s="30" t="s">
        <v>135</v>
      </c>
      <c r="C31" s="43">
        <f>IFERROR('HISTORICAL(FS)'!C7/SUM('HISTORICAL(FS)'!C50:C51),0)</f>
        <v>2.331552127648628</v>
      </c>
      <c r="D31" s="43">
        <f>IFERROR('HISTORICAL(FS)'!D7/SUM('HISTORICAL(FS)'!D50:D51),0)</f>
        <v>2.9693664507981636</v>
      </c>
      <c r="E31" s="43">
        <f>IFERROR('HISTORICAL(FS)'!E7/SUM('HISTORICAL(FS)'!E50:E51),0)</f>
        <v>2.024771063609998</v>
      </c>
      <c r="F31" s="43">
        <f>IFERROR('HISTORICAL(FS)'!F7/SUM('HISTORICAL(FS)'!F50:F51),0)</f>
        <v>2.2875416321606008</v>
      </c>
      <c r="G31" s="43">
        <f>IFERROR('HISTORICAL(FS)'!G7/SUM('HISTORICAL(FS)'!G50:G51),0)</f>
        <v>1.9002946601011466</v>
      </c>
      <c r="H31" s="43">
        <f>IFERROR('HISTORICAL(FS)'!H7/SUM('HISTORICAL(FS)'!H50:H51),0)</f>
        <v>2.1077585202448801</v>
      </c>
      <c r="I31" s="43">
        <f>IFERROR('HISTORICAL(FS)'!I7/SUM('HISTORICAL(FS)'!I50:I51),0)</f>
        <v>2.1317082279533994</v>
      </c>
      <c r="J31" s="43">
        <f>IFERROR('HISTORICAL(FS)'!J7/SUM('HISTORICAL(FS)'!J50:J51),0)</f>
        <v>2.3607657391535484</v>
      </c>
      <c r="K31" s="43">
        <f>IFERROR('HISTORICAL(FS)'!K7/SUM('HISTORICAL(FS)'!K50:K51),0)</f>
        <v>2.4900188796180962</v>
      </c>
      <c r="L31" s="43">
        <f>IFERROR('HISTORICAL(FS)'!L7/SUM('HISTORICAL(FS)'!L50:L51),0)</f>
        <v>2.397097695800674</v>
      </c>
      <c r="M31" s="30"/>
      <c r="N31" s="46">
        <f t="shared" si="2"/>
        <v>2.3000874997089134</v>
      </c>
      <c r="O31" s="46">
        <f t="shared" si="1"/>
        <v>2.3095468799046142</v>
      </c>
    </row>
    <row r="32" spans="2:15" x14ac:dyDescent="0.3">
      <c r="N32" s="45"/>
      <c r="O32" s="45"/>
    </row>
    <row r="33" spans="2:15" x14ac:dyDescent="0.3">
      <c r="B33" s="27" t="s">
        <v>136</v>
      </c>
      <c r="C33" s="49">
        <f>IFERROR(365/C27,0)</f>
        <v>43.193079920191998</v>
      </c>
      <c r="D33" s="49">
        <f t="shared" ref="D33:L33" si="4">IFERROR(365/D27,0)</f>
        <v>37.659938938242064</v>
      </c>
      <c r="E33" s="49">
        <f t="shared" si="4"/>
        <v>36.76834884027928</v>
      </c>
      <c r="F33" s="49">
        <f t="shared" si="4"/>
        <v>27.342186944940789</v>
      </c>
      <c r="G33" s="49">
        <f t="shared" si="4"/>
        <v>20.584044532607528</v>
      </c>
      <c r="H33" s="49">
        <f t="shared" si="4"/>
        <v>22.252680578792848</v>
      </c>
      <c r="I33" s="49">
        <f t="shared" si="4"/>
        <v>18.322520731645383</v>
      </c>
      <c r="J33" s="49">
        <f t="shared" si="4"/>
        <v>12.384874808657344</v>
      </c>
      <c r="K33" s="49">
        <f t="shared" si="4"/>
        <v>9.9759159959223425</v>
      </c>
      <c r="L33" s="49">
        <f t="shared" si="4"/>
        <v>8.7851187395989907</v>
      </c>
      <c r="M33" s="27"/>
      <c r="N33" s="49">
        <f t="shared" ref="N33:O33" si="5">IFERROR(365/N27,0)</f>
        <v>17.973088884565868</v>
      </c>
      <c r="O33" s="49">
        <f t="shared" si="5"/>
        <v>21.385863032832972</v>
      </c>
    </row>
    <row r="34" spans="2:15" x14ac:dyDescent="0.3">
      <c r="B34" t="s">
        <v>145</v>
      </c>
      <c r="C34" s="44">
        <f>IFERROR(365/C28,0)</f>
        <v>183.15203680253327</v>
      </c>
      <c r="D34" s="44">
        <f t="shared" ref="D34:L34" si="6">IFERROR(365/D28,0)</f>
        <v>167.75642652473181</v>
      </c>
      <c r="E34" s="44">
        <f t="shared" si="6"/>
        <v>164.96782937185654</v>
      </c>
      <c r="F34" s="44">
        <f t="shared" si="6"/>
        <v>145.91792019470665</v>
      </c>
      <c r="G34" s="44">
        <f t="shared" si="6"/>
        <v>154.66173949955174</v>
      </c>
      <c r="H34" s="44">
        <f t="shared" si="6"/>
        <v>189.33525640124387</v>
      </c>
      <c r="I34" s="44">
        <f t="shared" si="6"/>
        <v>138.27029826343482</v>
      </c>
      <c r="J34" s="44">
        <f t="shared" si="6"/>
        <v>146.1193215082192</v>
      </c>
      <c r="K34" s="44">
        <f t="shared" si="6"/>
        <v>143.65272527326565</v>
      </c>
      <c r="L34" s="44">
        <f t="shared" si="6"/>
        <v>149.45871858065507</v>
      </c>
      <c r="N34" s="44">
        <f t="shared" ref="N34:O34" si="7">IFERROR(365/N28,0)</f>
        <v>156.71215404967816</v>
      </c>
      <c r="O34" s="44">
        <f t="shared" si="7"/>
        <v>152.01572130318007</v>
      </c>
    </row>
    <row r="35" spans="2:15" x14ac:dyDescent="0.3">
      <c r="B35" t="s">
        <v>137</v>
      </c>
      <c r="C35" s="44">
        <f>IFERROR(365/C29,0)</f>
        <v>71.641107335949144</v>
      </c>
      <c r="D35" s="44">
        <f t="shared" ref="D35:L35" si="8">IFERROR(365/D29,0)</f>
        <v>80.618353149107989</v>
      </c>
      <c r="E35" s="44">
        <f t="shared" si="8"/>
        <v>83.901887454404317</v>
      </c>
      <c r="F35" s="44">
        <f t="shared" si="8"/>
        <v>73.283126250761171</v>
      </c>
      <c r="G35" s="44">
        <f t="shared" si="8"/>
        <v>81.106812386078502</v>
      </c>
      <c r="H35" s="44">
        <f t="shared" si="8"/>
        <v>77.620657679639351</v>
      </c>
      <c r="I35" s="44">
        <f t="shared" si="8"/>
        <v>73.048708724496805</v>
      </c>
      <c r="J35" s="44">
        <f t="shared" si="8"/>
        <v>81.616502574925306</v>
      </c>
      <c r="K35" s="44">
        <f t="shared" si="8"/>
        <v>78.293101546366429</v>
      </c>
      <c r="L35" s="44">
        <f t="shared" si="8"/>
        <v>74.472138624197186</v>
      </c>
      <c r="N35" s="44">
        <f t="shared" ref="N35:O35" si="9">IFERROR(365/N29,0)</f>
        <v>77.350380791635999</v>
      </c>
      <c r="O35" s="44">
        <f t="shared" si="9"/>
        <v>77.955429514063113</v>
      </c>
    </row>
    <row r="36" spans="2:15" x14ac:dyDescent="0.3">
      <c r="B36" s="30" t="s">
        <v>138</v>
      </c>
      <c r="C36" s="50">
        <f>IFERROR(SUM(C33+C35)-C34,0)</f>
        <v>-68.317849546392125</v>
      </c>
      <c r="D36" s="50">
        <f t="shared" ref="D36:L36" si="10">IFERROR(SUM(D33+D35)-D34,0)</f>
        <v>-49.478134437381755</v>
      </c>
      <c r="E36" s="50">
        <f t="shared" si="10"/>
        <v>-44.297593077172934</v>
      </c>
      <c r="F36" s="50">
        <f t="shared" si="10"/>
        <v>-45.29260699900469</v>
      </c>
      <c r="G36" s="50">
        <f t="shared" si="10"/>
        <v>-52.97088258086572</v>
      </c>
      <c r="H36" s="50">
        <f t="shared" si="10"/>
        <v>-89.461918142811669</v>
      </c>
      <c r="I36" s="50">
        <f t="shared" si="10"/>
        <v>-46.899068807292636</v>
      </c>
      <c r="J36" s="50">
        <f t="shared" si="10"/>
        <v>-52.117944124636551</v>
      </c>
      <c r="K36" s="50">
        <f t="shared" si="10"/>
        <v>-55.38370773097688</v>
      </c>
      <c r="L36" s="50">
        <f t="shared" si="10"/>
        <v>-66.201461216858903</v>
      </c>
      <c r="M36" s="30"/>
      <c r="N36" s="50">
        <f t="shared" ref="N36:O36" si="11">IFERROR(365/N30,0)</f>
        <v>263.4991490909137</v>
      </c>
      <c r="O36" s="50">
        <f t="shared" si="11"/>
        <v>270.9019692913497</v>
      </c>
    </row>
    <row r="37" spans="2:15" x14ac:dyDescent="0.3">
      <c r="N37" s="10"/>
      <c r="O37" s="10"/>
    </row>
    <row r="38" spans="2:15" x14ac:dyDescent="0.3">
      <c r="B38" s="27" t="s">
        <v>139</v>
      </c>
      <c r="C38" s="32">
        <f>IFERROR('HISTORICAL(FS)'!#REF!/'HISTORICAL(FS)'!C7,0)</f>
        <v>0</v>
      </c>
      <c r="D38" s="32">
        <f>IFERROR('HISTORICAL(FS)'!#REF!/'HISTORICAL(FS)'!D7,0)</f>
        <v>0</v>
      </c>
      <c r="E38" s="32">
        <f>IFERROR('HISTORICAL(FS)'!#REF!/'HISTORICAL(FS)'!E7,0)</f>
        <v>0</v>
      </c>
      <c r="F38" s="32">
        <f>IFERROR('HISTORICAL(FS)'!#REF!/'HISTORICAL(FS)'!F7,0)</f>
        <v>0</v>
      </c>
      <c r="G38" s="32">
        <f>IFERROR('HISTORICAL(FS)'!#REF!/'HISTORICAL(FS)'!G7,0)</f>
        <v>0</v>
      </c>
      <c r="H38" s="32">
        <f>IFERROR('HISTORICAL(FS)'!#REF!/'HISTORICAL(FS)'!H7,0)</f>
        <v>0</v>
      </c>
      <c r="I38" s="32">
        <f>IFERROR('HISTORICAL(FS)'!#REF!/'HISTORICAL(FS)'!I7,0)</f>
        <v>0</v>
      </c>
      <c r="J38" s="32">
        <f>IFERROR('HISTORICAL(FS)'!#REF!/'HISTORICAL(FS)'!J7,0)</f>
        <v>0</v>
      </c>
      <c r="K38" s="32">
        <f>IFERROR('HISTORICAL(FS)'!#REF!/'HISTORICAL(FS)'!K7,0)</f>
        <v>0</v>
      </c>
      <c r="L38" s="32">
        <f>IFERROR('HISTORICAL(FS)'!#REF!/'HISTORICAL(FS)'!L7,0)</f>
        <v>0</v>
      </c>
      <c r="M38" s="27"/>
      <c r="N38" s="32">
        <f t="shared" si="2"/>
        <v>0</v>
      </c>
      <c r="O38" s="32">
        <f t="shared" si="1"/>
        <v>0</v>
      </c>
    </row>
    <row r="39" spans="2:15" x14ac:dyDescent="0.3">
      <c r="B39" t="s">
        <v>140</v>
      </c>
      <c r="C39" s="34">
        <f>IFERROR('HISTORICAL(FS)'!#REF!/'HISTORICAL(FS)'!C67,0)</f>
        <v>0</v>
      </c>
      <c r="D39" s="34">
        <f>IFERROR('HISTORICAL(FS)'!#REF!/'HISTORICAL(FS)'!D67,0)</f>
        <v>0</v>
      </c>
      <c r="E39" s="34">
        <f>IFERROR('HISTORICAL(FS)'!#REF!/'HISTORICAL(FS)'!E67,0)</f>
        <v>0</v>
      </c>
      <c r="F39" s="34">
        <f>IFERROR('HISTORICAL(FS)'!#REF!/'HISTORICAL(FS)'!F67,0)</f>
        <v>0</v>
      </c>
      <c r="G39" s="34">
        <f>IFERROR('HISTORICAL(FS)'!#REF!/'HISTORICAL(FS)'!G67,0)</f>
        <v>0</v>
      </c>
      <c r="H39" s="34">
        <f>IFERROR('HISTORICAL(FS)'!#REF!/'HISTORICAL(FS)'!H67,0)</f>
        <v>0</v>
      </c>
      <c r="I39" s="34">
        <f>IFERROR('HISTORICAL(FS)'!#REF!/'HISTORICAL(FS)'!I67,0)</f>
        <v>0</v>
      </c>
      <c r="J39" s="34">
        <f>IFERROR('HISTORICAL(FS)'!#REF!/'HISTORICAL(FS)'!J67,0)</f>
        <v>0</v>
      </c>
      <c r="K39" s="34">
        <f>IFERROR('HISTORICAL(FS)'!#REF!/'HISTORICAL(FS)'!K67,0)</f>
        <v>0</v>
      </c>
      <c r="L39" s="34">
        <f>IFERROR('HISTORICAL(FS)'!#REF!/'HISTORICAL(FS)'!L67,0)</f>
        <v>0</v>
      </c>
      <c r="N39" s="34">
        <f t="shared" si="2"/>
        <v>0</v>
      </c>
      <c r="O39" s="34">
        <f t="shared" si="1"/>
        <v>0</v>
      </c>
    </row>
    <row r="40" spans="2:15" x14ac:dyDescent="0.3">
      <c r="B40" s="30" t="s">
        <v>141</v>
      </c>
      <c r="C40" s="36">
        <f>IFERROR('HISTORICAL(FS)'!#REF!/'HISTORICAL(FS)'!C52,0)</f>
        <v>0</v>
      </c>
      <c r="D40" s="36">
        <f>IFERROR('HISTORICAL(FS)'!#REF!/'HISTORICAL(FS)'!D52,0)</f>
        <v>0</v>
      </c>
      <c r="E40" s="36">
        <f>IFERROR('HISTORICAL(FS)'!#REF!/'HISTORICAL(FS)'!E52,0)</f>
        <v>0</v>
      </c>
      <c r="F40" s="36">
        <f>IFERROR('HISTORICAL(FS)'!#REF!/'HISTORICAL(FS)'!F52,0)</f>
        <v>0</v>
      </c>
      <c r="G40" s="36">
        <f>IFERROR('HISTORICAL(FS)'!#REF!/'HISTORICAL(FS)'!G52,0)</f>
        <v>0</v>
      </c>
      <c r="H40" s="36">
        <f>IFERROR('HISTORICAL(FS)'!#REF!/'HISTORICAL(FS)'!H52,0)</f>
        <v>0</v>
      </c>
      <c r="I40" s="36">
        <f>IFERROR('HISTORICAL(FS)'!#REF!/'HISTORICAL(FS)'!I52,0)</f>
        <v>0</v>
      </c>
      <c r="J40" s="36">
        <f>IFERROR('HISTORICAL(FS)'!#REF!/'HISTORICAL(FS)'!J52,0)</f>
        <v>0</v>
      </c>
      <c r="K40" s="36">
        <f>IFERROR('HISTORICAL(FS)'!#REF!/'HISTORICAL(FS)'!K52,0)</f>
        <v>0</v>
      </c>
      <c r="L40" s="36">
        <f>IFERROR('HISTORICAL(FS)'!#REF!/'HISTORICAL(FS)'!L52,0)</f>
        <v>0</v>
      </c>
      <c r="M40" s="30"/>
      <c r="N40" s="36">
        <f t="shared" si="2"/>
        <v>0</v>
      </c>
      <c r="O40" s="36">
        <f t="shared" si="1"/>
        <v>0</v>
      </c>
    </row>
  </sheetData>
  <mergeCells count="1">
    <mergeCell ref="B2:O2"/>
  </mergeCells>
  <pageMargins left="0.7" right="0.7" top="0.75" bottom="0.75" header="0.3" footer="0.3"/>
  <pageSetup scale="56" orientation="landscape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E8B610C3-82CA-4709-B986-17EB001140E9}">
          <x14:colorSeries theme="2" tint="-0.249977111117893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  <x14:sparklineGroup displayEmptyCellsAs="gap" markers="1" xr2:uid="{34921E53-F7A8-42A4-9723-1F8B1694639C}">
          <x14:colorSeries theme="2" tint="-0.249977111117893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810D-146D-4506-AC82-BCE13B298C71}">
  <sheetPr>
    <pageSetUpPr fitToPage="1"/>
  </sheetPr>
  <dimension ref="B3:T22"/>
  <sheetViews>
    <sheetView showGridLines="0" zoomScale="70" zoomScaleNormal="70" workbookViewId="0">
      <selection activeCell="F5" sqref="F5"/>
    </sheetView>
  </sheetViews>
  <sheetFormatPr defaultRowHeight="14.4" x14ac:dyDescent="0.3"/>
  <cols>
    <col min="1" max="1" width="1.88671875" customWidth="1"/>
    <col min="2" max="2" width="13" customWidth="1"/>
    <col min="3" max="3" width="11.33203125" customWidth="1"/>
    <col min="4" max="4" width="12.88671875" customWidth="1"/>
    <col min="5" max="5" width="14.33203125" customWidth="1"/>
    <col min="6" max="6" width="12.33203125" customWidth="1"/>
    <col min="7" max="7" width="12.6640625" customWidth="1"/>
    <col min="8" max="8" width="13.109375" customWidth="1"/>
    <col min="9" max="9" width="13.33203125" customWidth="1"/>
    <col min="10" max="10" width="15.6640625" customWidth="1"/>
    <col min="11" max="11" width="12.33203125" customWidth="1"/>
    <col min="12" max="12" width="13.44140625" style="54" customWidth="1"/>
    <col min="13" max="13" width="13.109375" customWidth="1"/>
    <col min="14" max="14" width="15" customWidth="1"/>
    <col min="15" max="15" width="17.21875" customWidth="1"/>
    <col min="17" max="17" width="11.77734375" customWidth="1"/>
    <col min="18" max="18" width="12.77734375" customWidth="1"/>
    <col min="19" max="19" width="15.33203125" customWidth="1"/>
    <col min="20" max="20" width="18.6640625" customWidth="1"/>
  </cols>
  <sheetData>
    <row r="3" spans="2:20" x14ac:dyDescent="0.3">
      <c r="B3" s="101" t="s">
        <v>537</v>
      </c>
      <c r="C3" s="108"/>
      <c r="D3" s="108"/>
      <c r="E3" s="108"/>
      <c r="F3" s="108"/>
      <c r="G3" s="108"/>
      <c r="H3" s="108"/>
      <c r="I3" s="108"/>
      <c r="J3" s="108"/>
      <c r="K3" s="108"/>
      <c r="L3" s="218"/>
      <c r="M3" s="108"/>
      <c r="N3" s="108"/>
      <c r="O3" s="108"/>
      <c r="P3" s="108"/>
      <c r="Q3" s="108"/>
      <c r="R3" s="108"/>
      <c r="S3" s="108"/>
      <c r="T3" s="108"/>
    </row>
    <row r="6" spans="2:20" x14ac:dyDescent="0.3">
      <c r="B6" s="216" t="s">
        <v>151</v>
      </c>
      <c r="C6" s="216"/>
      <c r="D6" s="216"/>
      <c r="E6" s="216"/>
      <c r="G6" s="216" t="s">
        <v>152</v>
      </c>
      <c r="H6" s="216"/>
      <c r="I6" s="216"/>
      <c r="J6" s="216"/>
      <c r="L6" s="216" t="s">
        <v>153</v>
      </c>
      <c r="M6" s="216"/>
      <c r="N6" s="216"/>
      <c r="O6" s="216"/>
      <c r="Q6" s="216" t="s">
        <v>193</v>
      </c>
      <c r="R6" s="216"/>
      <c r="S6" s="216"/>
      <c r="T6" s="216"/>
    </row>
    <row r="7" spans="2:20" x14ac:dyDescent="0.3">
      <c r="B7" s="53" t="s">
        <v>149</v>
      </c>
      <c r="C7" s="55" t="s">
        <v>150</v>
      </c>
      <c r="D7" s="56" t="s">
        <v>1</v>
      </c>
      <c r="E7" s="56" t="s">
        <v>10</v>
      </c>
      <c r="G7" s="53" t="s">
        <v>149</v>
      </c>
      <c r="H7" s="55" t="s">
        <v>150</v>
      </c>
      <c r="I7" s="56" t="s">
        <v>63</v>
      </c>
      <c r="J7" s="56" t="s">
        <v>116</v>
      </c>
      <c r="L7" s="59" t="s">
        <v>149</v>
      </c>
      <c r="M7" s="55" t="s">
        <v>150</v>
      </c>
      <c r="N7" s="56" t="s">
        <v>154</v>
      </c>
      <c r="O7" s="56" t="s">
        <v>117</v>
      </c>
      <c r="Q7" s="59" t="s">
        <v>149</v>
      </c>
      <c r="R7" s="55" t="s">
        <v>150</v>
      </c>
      <c r="S7" s="56" t="s">
        <v>69</v>
      </c>
      <c r="T7" s="56" t="s">
        <v>118</v>
      </c>
    </row>
    <row r="8" spans="2:20" x14ac:dyDescent="0.3">
      <c r="B8" s="54">
        <v>1</v>
      </c>
      <c r="C8" s="57">
        <v>2016</v>
      </c>
      <c r="D8" s="60">
        <v>101965</v>
      </c>
      <c r="G8" s="54">
        <v>1</v>
      </c>
      <c r="H8" s="58">
        <v>2016</v>
      </c>
      <c r="I8" s="60">
        <v>-625.23999999999432</v>
      </c>
      <c r="L8" s="54">
        <v>1</v>
      </c>
      <c r="M8" s="58">
        <v>2016</v>
      </c>
      <c r="N8" s="60">
        <v>-10152.999999999995</v>
      </c>
      <c r="Q8">
        <v>1</v>
      </c>
      <c r="R8" s="58">
        <v>2016</v>
      </c>
      <c r="S8" s="60">
        <v>-10842.959999999995</v>
      </c>
    </row>
    <row r="9" spans="2:20" x14ac:dyDescent="0.3">
      <c r="B9" s="54">
        <f>1+B8</f>
        <v>2</v>
      </c>
      <c r="C9" s="57">
        <f>1+C8</f>
        <v>2017</v>
      </c>
      <c r="D9" s="60">
        <v>112299</v>
      </c>
      <c r="E9" s="10">
        <f>IFERROR(D9/D8-1,0)</f>
        <v>0.10134850193693912</v>
      </c>
      <c r="G9" s="54">
        <f>1+G8</f>
        <v>2</v>
      </c>
      <c r="H9" s="58">
        <f>1+H8</f>
        <v>2017</v>
      </c>
      <c r="I9" s="60">
        <v>13143.630000000001</v>
      </c>
      <c r="J9" s="10">
        <f>IFERROR(I9/I8-1,0)</f>
        <v>-22.021735653509246</v>
      </c>
      <c r="L9" s="54">
        <v>2</v>
      </c>
      <c r="M9" s="58">
        <v>2017</v>
      </c>
      <c r="N9" s="60">
        <v>2398.5500000000011</v>
      </c>
      <c r="O9" s="10">
        <f>IFERROR(N9/N8-1,0)</f>
        <v>-1.2362405200433373</v>
      </c>
      <c r="Q9">
        <f>1+Q8</f>
        <v>2</v>
      </c>
      <c r="R9" s="58">
        <f>1+R8</f>
        <v>2017</v>
      </c>
      <c r="S9" s="60">
        <v>-379.45999999999913</v>
      </c>
      <c r="T9" s="10">
        <f>IFERROR(S9/S8-1,0)</f>
        <v>-0.96500402104222471</v>
      </c>
    </row>
    <row r="10" spans="2:20" x14ac:dyDescent="0.3">
      <c r="B10" s="54">
        <f t="shared" ref="B10:B22" si="0">1+B9</f>
        <v>3</v>
      </c>
      <c r="C10" s="57">
        <f t="shared" ref="C10:C16" si="1">1+C9</f>
        <v>2018</v>
      </c>
      <c r="D10" s="60">
        <v>123249</v>
      </c>
      <c r="E10" s="10">
        <f t="shared" ref="E10:E22" si="2">IFERROR(D10/D9-1,0)</f>
        <v>9.7507546816979707E-2</v>
      </c>
      <c r="G10" s="54">
        <f t="shared" ref="G10:G22" si="3">1+G9</f>
        <v>3</v>
      </c>
      <c r="H10" s="58">
        <f t="shared" ref="H10:H22" si="4">1+H9</f>
        <v>2018</v>
      </c>
      <c r="I10" s="60">
        <v>21433.190000000002</v>
      </c>
      <c r="J10" s="10">
        <f t="shared" ref="J10:J22" si="5">IFERROR(I10/I9-1,0)</f>
        <v>0.6306903039723426</v>
      </c>
      <c r="L10" s="54">
        <v>3</v>
      </c>
      <c r="M10" s="58">
        <v>2018</v>
      </c>
      <c r="N10" s="60">
        <v>10236.750000000004</v>
      </c>
      <c r="O10" s="10">
        <f t="shared" ref="O10:O22" si="6">IFERROR(N10/N9-1,0)</f>
        <v>3.2678910174897329</v>
      </c>
      <c r="Q10">
        <f t="shared" ref="Q10:Q22" si="7">1+Q9</f>
        <v>3</v>
      </c>
      <c r="R10" s="58">
        <f t="shared" ref="R10:R22" si="8">1+R9</f>
        <v>2018</v>
      </c>
      <c r="S10" s="60">
        <v>6844.4200000000037</v>
      </c>
      <c r="T10" s="10">
        <f t="shared" ref="T10:T22" si="9">IFERROR(S10/S9-1,0)</f>
        <v>-19.037263479681705</v>
      </c>
    </row>
    <row r="11" spans="2:20" x14ac:dyDescent="0.3">
      <c r="B11" s="54">
        <f t="shared" si="0"/>
        <v>4</v>
      </c>
      <c r="C11" s="57">
        <f t="shared" si="1"/>
        <v>2019</v>
      </c>
      <c r="D11" s="60">
        <v>157669</v>
      </c>
      <c r="E11" s="10">
        <f t="shared" si="2"/>
        <v>0.27927204277519491</v>
      </c>
      <c r="G11" s="54">
        <f t="shared" si="3"/>
        <v>4</v>
      </c>
      <c r="H11" s="58">
        <f t="shared" si="4"/>
        <v>2019</v>
      </c>
      <c r="I11" s="219">
        <v>29318.22</v>
      </c>
      <c r="J11" s="10">
        <f t="shared" si="5"/>
        <v>0.36788877437283007</v>
      </c>
      <c r="L11" s="54">
        <v>4</v>
      </c>
      <c r="M11" s="58">
        <v>2019</v>
      </c>
      <c r="N11" s="60">
        <v>14316.29</v>
      </c>
      <c r="O11" s="10">
        <f t="shared" si="6"/>
        <v>0.39851906122548608</v>
      </c>
      <c r="Q11">
        <f t="shared" si="7"/>
        <v>4</v>
      </c>
      <c r="R11" s="58">
        <f t="shared" si="8"/>
        <v>2019</v>
      </c>
      <c r="S11" s="60">
        <v>7597.8600000000006</v>
      </c>
      <c r="T11" s="10">
        <f t="shared" si="9"/>
        <v>0.11008091262663555</v>
      </c>
    </row>
    <row r="12" spans="2:20" x14ac:dyDescent="0.3">
      <c r="B12" s="54">
        <f t="shared" si="0"/>
        <v>5</v>
      </c>
      <c r="C12" s="57">
        <f t="shared" si="1"/>
        <v>2020</v>
      </c>
      <c r="D12" s="60">
        <v>139817</v>
      </c>
      <c r="E12" s="10">
        <f t="shared" si="2"/>
        <v>-0.11322454001737814</v>
      </c>
      <c r="G12" s="54">
        <f t="shared" si="3"/>
        <v>5</v>
      </c>
      <c r="H12" s="58">
        <f t="shared" si="4"/>
        <v>2020</v>
      </c>
      <c r="I12" s="60">
        <v>17463.060000000005</v>
      </c>
      <c r="J12" s="10">
        <f t="shared" si="5"/>
        <v>-0.40436151990127622</v>
      </c>
      <c r="L12" s="54">
        <v>5</v>
      </c>
      <c r="M12" s="58">
        <v>2020</v>
      </c>
      <c r="N12" s="60">
        <v>1488.8700000000063</v>
      </c>
      <c r="O12" s="10">
        <f t="shared" si="6"/>
        <v>-0.89600168758805487</v>
      </c>
      <c r="Q12">
        <f t="shared" si="7"/>
        <v>5</v>
      </c>
      <c r="R12" s="58">
        <f t="shared" si="8"/>
        <v>2020</v>
      </c>
      <c r="S12" s="60">
        <v>4057.2800000000061</v>
      </c>
      <c r="T12" s="10">
        <f t="shared" si="9"/>
        <v>-0.46599700441966474</v>
      </c>
    </row>
    <row r="13" spans="2:20" x14ac:dyDescent="0.3">
      <c r="B13" s="54">
        <f t="shared" si="0"/>
        <v>6</v>
      </c>
      <c r="C13" s="57">
        <f t="shared" si="1"/>
        <v>2021</v>
      </c>
      <c r="D13" s="60">
        <v>156477</v>
      </c>
      <c r="E13" s="10">
        <f t="shared" si="2"/>
        <v>0.11915575359219543</v>
      </c>
      <c r="G13" s="54">
        <f t="shared" si="3"/>
        <v>6</v>
      </c>
      <c r="H13" s="58">
        <f t="shared" si="4"/>
        <v>2021</v>
      </c>
      <c r="I13" s="60">
        <v>30504.259999999987</v>
      </c>
      <c r="J13" s="10">
        <f t="shared" si="5"/>
        <v>0.74678779091407677</v>
      </c>
      <c r="L13" s="54">
        <v>6</v>
      </c>
      <c r="M13" s="58">
        <v>2021</v>
      </c>
      <c r="N13" s="60">
        <v>13663.909999999989</v>
      </c>
      <c r="O13" s="10">
        <f t="shared" si="6"/>
        <v>8.1773694143880462</v>
      </c>
      <c r="Q13">
        <f t="shared" si="7"/>
        <v>6</v>
      </c>
      <c r="R13" s="58">
        <f t="shared" si="8"/>
        <v>2021</v>
      </c>
      <c r="S13" s="60">
        <v>8010.0099999999893</v>
      </c>
      <c r="T13" s="10">
        <f t="shared" si="9"/>
        <v>0.97423150485053456</v>
      </c>
    </row>
    <row r="14" spans="2:20" x14ac:dyDescent="0.3">
      <c r="B14" s="54">
        <f t="shared" si="0"/>
        <v>7</v>
      </c>
      <c r="C14" s="57">
        <f t="shared" si="1"/>
        <v>2022</v>
      </c>
      <c r="D14" s="60">
        <v>243959</v>
      </c>
      <c r="E14" s="10">
        <f t="shared" si="2"/>
        <v>0.55907257935671062</v>
      </c>
      <c r="G14" s="54">
        <f t="shared" si="3"/>
        <v>7</v>
      </c>
      <c r="H14" s="58">
        <f t="shared" si="4"/>
        <v>2022</v>
      </c>
      <c r="I14" s="60">
        <v>63489.950000000012</v>
      </c>
      <c r="J14" s="10">
        <f t="shared" si="5"/>
        <v>1.0813469987470614</v>
      </c>
      <c r="L14" s="54">
        <v>7</v>
      </c>
      <c r="M14" s="58">
        <v>2022</v>
      </c>
      <c r="N14" s="60">
        <v>48926.880000000012</v>
      </c>
      <c r="O14" s="10">
        <f t="shared" si="6"/>
        <v>2.5807378707851596</v>
      </c>
      <c r="Q14">
        <f t="shared" si="7"/>
        <v>7</v>
      </c>
      <c r="R14" s="58">
        <f t="shared" si="8"/>
        <v>2022</v>
      </c>
      <c r="S14" s="60">
        <v>40449.330000000016</v>
      </c>
      <c r="T14" s="10">
        <f t="shared" si="9"/>
        <v>4.0498476281552795</v>
      </c>
    </row>
    <row r="15" spans="2:20" x14ac:dyDescent="0.3">
      <c r="B15" s="54">
        <f t="shared" si="0"/>
        <v>8</v>
      </c>
      <c r="C15" s="57">
        <f t="shared" si="1"/>
        <v>2023</v>
      </c>
      <c r="D15" s="60">
        <v>243353</v>
      </c>
      <c r="E15" s="10">
        <f t="shared" si="2"/>
        <v>-2.4840239548448162E-3</v>
      </c>
      <c r="G15" s="54">
        <f t="shared" si="3"/>
        <v>8</v>
      </c>
      <c r="H15" s="58">
        <f t="shared" si="4"/>
        <v>2023</v>
      </c>
      <c r="I15" s="60">
        <v>32300.160000000018</v>
      </c>
      <c r="J15" s="10">
        <f t="shared" si="5"/>
        <v>-0.49125554516895964</v>
      </c>
      <c r="L15" s="54">
        <v>8</v>
      </c>
      <c r="M15" s="58">
        <v>2023</v>
      </c>
      <c r="N15" s="60">
        <v>16666.260000000017</v>
      </c>
      <c r="O15" s="10">
        <f t="shared" si="6"/>
        <v>-0.65936393246411762</v>
      </c>
      <c r="Q15">
        <f t="shared" si="7"/>
        <v>8</v>
      </c>
      <c r="R15" s="58">
        <f t="shared" si="8"/>
        <v>2023</v>
      </c>
      <c r="S15" s="60">
        <v>6506.4900000000162</v>
      </c>
      <c r="T15" s="10">
        <f t="shared" si="9"/>
        <v>-0.83914467804534676</v>
      </c>
    </row>
    <row r="16" spans="2:20" x14ac:dyDescent="0.3">
      <c r="B16" s="54">
        <f t="shared" si="0"/>
        <v>9</v>
      </c>
      <c r="C16" s="57">
        <f t="shared" si="1"/>
        <v>2024</v>
      </c>
      <c r="D16" s="60">
        <v>229171</v>
      </c>
      <c r="E16" s="10">
        <f t="shared" si="2"/>
        <v>-5.8277481682987298E-2</v>
      </c>
      <c r="G16" s="54">
        <f t="shared" si="3"/>
        <v>9</v>
      </c>
      <c r="H16" s="58">
        <f t="shared" si="4"/>
        <v>2024</v>
      </c>
      <c r="I16" s="60">
        <v>22247.920000000002</v>
      </c>
      <c r="J16" s="10">
        <f t="shared" si="5"/>
        <v>-0.31121331906715044</v>
      </c>
      <c r="L16" s="54">
        <v>9</v>
      </c>
      <c r="M16" s="58">
        <v>2024</v>
      </c>
      <c r="N16" s="60">
        <v>4858.1900000000023</v>
      </c>
      <c r="O16" s="10">
        <f t="shared" si="6"/>
        <v>-0.7085014874362936</v>
      </c>
      <c r="Q16">
        <f t="shared" si="7"/>
        <v>9</v>
      </c>
      <c r="R16" s="58">
        <f t="shared" si="8"/>
        <v>2024</v>
      </c>
      <c r="S16" s="60">
        <v>1095.6200000000022</v>
      </c>
      <c r="T16" s="10">
        <f t="shared" si="9"/>
        <v>-0.83161120665673827</v>
      </c>
    </row>
    <row r="17" spans="2:20" x14ac:dyDescent="0.3">
      <c r="B17" s="54">
        <f t="shared" si="0"/>
        <v>10</v>
      </c>
      <c r="C17" s="57">
        <f>1+C16</f>
        <v>2025</v>
      </c>
      <c r="D17" s="60">
        <v>218543</v>
      </c>
      <c r="E17" s="10">
        <f t="shared" si="2"/>
        <v>-4.637585034755709E-2</v>
      </c>
      <c r="G17" s="54">
        <f t="shared" si="3"/>
        <v>10</v>
      </c>
      <c r="H17" s="58">
        <f t="shared" si="4"/>
        <v>2025</v>
      </c>
      <c r="I17" s="60">
        <v>25298.44999999999</v>
      </c>
      <c r="J17" s="10">
        <f t="shared" si="5"/>
        <v>0.13711528987878352</v>
      </c>
      <c r="L17" s="54">
        <v>10</v>
      </c>
      <c r="M17" s="58">
        <v>2025</v>
      </c>
      <c r="N17" s="60">
        <v>7536.169999999991</v>
      </c>
      <c r="O17" s="10">
        <f t="shared" si="6"/>
        <v>0.55122998482973862</v>
      </c>
      <c r="Q17">
        <f t="shared" si="7"/>
        <v>10</v>
      </c>
      <c r="R17" s="58">
        <f t="shared" si="8"/>
        <v>2025</v>
      </c>
      <c r="S17" s="60">
        <v>2297.0799999999908</v>
      </c>
      <c r="T17" s="10">
        <f t="shared" si="9"/>
        <v>1.0966028367499554</v>
      </c>
    </row>
    <row r="18" spans="2:20" x14ac:dyDescent="0.3">
      <c r="B18" s="61">
        <f t="shared" si="0"/>
        <v>11</v>
      </c>
      <c r="C18" s="62">
        <f t="shared" ref="C18:C22" si="10">1+C17</f>
        <v>2026</v>
      </c>
      <c r="D18" s="63">
        <f>FORECAST(B18,D8:D17,B8:B17)</f>
        <v>264095.40000000002</v>
      </c>
      <c r="E18" s="64">
        <f t="shared" si="2"/>
        <v>0.20843678360780271</v>
      </c>
      <c r="G18" s="61">
        <f t="shared" si="3"/>
        <v>11</v>
      </c>
      <c r="H18" s="65">
        <f t="shared" si="4"/>
        <v>2026</v>
      </c>
      <c r="I18" s="63">
        <f>FORECAST(G18,I8:I17,G8:G17)</f>
        <v>41021.842666666664</v>
      </c>
      <c r="J18" s="64">
        <f t="shared" si="5"/>
        <v>0.6215160480846329</v>
      </c>
      <c r="L18" s="61">
        <v>11</v>
      </c>
      <c r="M18" s="65">
        <v>2026</v>
      </c>
      <c r="N18" s="63">
        <f>FORECAST(L18,N8:N17,L8:L17)</f>
        <v>21813.032666666666</v>
      </c>
      <c r="O18" s="64">
        <f t="shared" si="6"/>
        <v>1.8944454101575059</v>
      </c>
      <c r="Q18" s="97">
        <f t="shared" si="7"/>
        <v>11</v>
      </c>
      <c r="R18" s="65">
        <f t="shared" si="8"/>
        <v>2026</v>
      </c>
      <c r="S18" s="63">
        <f>FORECAST(Q18,S8:S17,Q8:Q17)</f>
        <v>14210.347333333339</v>
      </c>
      <c r="T18" s="64">
        <f t="shared" si="9"/>
        <v>5.1862657518821269</v>
      </c>
    </row>
    <row r="19" spans="2:20" x14ac:dyDescent="0.3">
      <c r="B19" s="61">
        <f t="shared" si="0"/>
        <v>12</v>
      </c>
      <c r="C19" s="62">
        <f t="shared" si="10"/>
        <v>2027</v>
      </c>
      <c r="D19" s="63">
        <f t="shared" ref="D19:D22" si="11">FORECAST(B19,D9:D18,B9:B18)</f>
        <v>281824.09333333332</v>
      </c>
      <c r="E19" s="64">
        <f t="shared" si="2"/>
        <v>6.7129883115470079E-2</v>
      </c>
      <c r="G19" s="61">
        <f t="shared" si="3"/>
        <v>12</v>
      </c>
      <c r="H19" s="65">
        <f t="shared" si="4"/>
        <v>2027</v>
      </c>
      <c r="I19" s="63">
        <f t="shared" ref="I19:I22" si="12">FORECAST(G19,I9:I18,G9:G18)</f>
        <v>40292.275733333336</v>
      </c>
      <c r="J19" s="64">
        <f t="shared" si="5"/>
        <v>-1.7784840609467722E-2</v>
      </c>
      <c r="L19" s="61">
        <v>12</v>
      </c>
      <c r="M19" s="65">
        <v>2027</v>
      </c>
      <c r="N19" s="63">
        <f t="shared" ref="N19:N22" si="13">FORECAST(L19,N9:N18,L9:L18)</f>
        <v>20501.521066666664</v>
      </c>
      <c r="O19" s="64">
        <f t="shared" si="6"/>
        <v>-6.0125138032923409E-2</v>
      </c>
      <c r="Q19" s="97">
        <f t="shared" si="7"/>
        <v>12</v>
      </c>
      <c r="R19" s="65">
        <f t="shared" si="8"/>
        <v>2027</v>
      </c>
      <c r="S19" s="63">
        <f t="shared" ref="S19:S22" si="14">FORECAST(Q19,S9:S18,Q9:Q18)</f>
        <v>12627.318933333336</v>
      </c>
      <c r="T19" s="64">
        <f t="shared" si="9"/>
        <v>-0.11139969790088655</v>
      </c>
    </row>
    <row r="20" spans="2:20" x14ac:dyDescent="0.3">
      <c r="B20" s="61">
        <f t="shared" si="0"/>
        <v>13</v>
      </c>
      <c r="C20" s="62">
        <f t="shared" si="10"/>
        <v>2028</v>
      </c>
      <c r="D20" s="63">
        <f t="shared" si="11"/>
        <v>298591.304</v>
      </c>
      <c r="E20" s="64">
        <f t="shared" si="2"/>
        <v>5.9495305984484936E-2</v>
      </c>
      <c r="G20" s="61">
        <f t="shared" si="3"/>
        <v>13</v>
      </c>
      <c r="H20" s="65">
        <f t="shared" si="4"/>
        <v>2028</v>
      </c>
      <c r="I20" s="63">
        <f t="shared" si="12"/>
        <v>40166.108515555548</v>
      </c>
      <c r="J20" s="64">
        <f t="shared" si="5"/>
        <v>-3.1313003666707528E-3</v>
      </c>
      <c r="L20" s="61">
        <v>13</v>
      </c>
      <c r="M20" s="65">
        <v>2028</v>
      </c>
      <c r="N20" s="63">
        <f t="shared" si="13"/>
        <v>19881.415982222221</v>
      </c>
      <c r="O20" s="64">
        <f t="shared" si="6"/>
        <v>-3.0246784247275671E-2</v>
      </c>
      <c r="Q20" s="97">
        <f t="shared" si="7"/>
        <v>13</v>
      </c>
      <c r="R20" s="65">
        <f t="shared" si="8"/>
        <v>2028</v>
      </c>
      <c r="S20" s="63">
        <f t="shared" si="14"/>
        <v>11531.125351111112</v>
      </c>
      <c r="T20" s="64">
        <f t="shared" si="9"/>
        <v>-8.6811269122894719E-2</v>
      </c>
    </row>
    <row r="21" spans="2:20" x14ac:dyDescent="0.3">
      <c r="B21" s="61">
        <f t="shared" si="0"/>
        <v>14</v>
      </c>
      <c r="C21" s="62">
        <f t="shared" si="10"/>
        <v>2029</v>
      </c>
      <c r="D21" s="63">
        <f t="shared" si="11"/>
        <v>313683.72604444443</v>
      </c>
      <c r="E21" s="64">
        <f t="shared" si="2"/>
        <v>5.0545417238421653E-2</v>
      </c>
      <c r="G21" s="61">
        <f t="shared" si="3"/>
        <v>14</v>
      </c>
      <c r="H21" s="65">
        <f t="shared" si="4"/>
        <v>2029</v>
      </c>
      <c r="I21" s="63">
        <f t="shared" si="12"/>
        <v>40390.114028444441</v>
      </c>
      <c r="J21" s="64">
        <f t="shared" si="5"/>
        <v>5.5769782328338735E-3</v>
      </c>
      <c r="L21" s="61">
        <v>14</v>
      </c>
      <c r="M21" s="65">
        <v>2029</v>
      </c>
      <c r="N21" s="63">
        <f t="shared" si="13"/>
        <v>19896.590792888885</v>
      </c>
      <c r="O21" s="64">
        <f t="shared" si="6"/>
        <v>7.6326609132038037E-4</v>
      </c>
      <c r="Q21" s="97">
        <f t="shared" si="7"/>
        <v>14</v>
      </c>
      <c r="R21" s="65">
        <f t="shared" si="8"/>
        <v>2029</v>
      </c>
      <c r="S21" s="63">
        <f t="shared" si="14"/>
        <v>11055.703740444445</v>
      </c>
      <c r="T21" s="64">
        <f t="shared" si="9"/>
        <v>-4.122942004275898E-2</v>
      </c>
    </row>
    <row r="22" spans="2:20" x14ac:dyDescent="0.3">
      <c r="B22" s="61">
        <f t="shared" si="0"/>
        <v>15</v>
      </c>
      <c r="C22" s="62">
        <f t="shared" si="10"/>
        <v>2030</v>
      </c>
      <c r="D22" s="63">
        <f t="shared" si="11"/>
        <v>332302.29663999996</v>
      </c>
      <c r="E22" s="64">
        <f t="shared" si="2"/>
        <v>5.9354595248966024E-2</v>
      </c>
      <c r="G22" s="61">
        <f t="shared" si="3"/>
        <v>15</v>
      </c>
      <c r="H22" s="65">
        <f t="shared" si="4"/>
        <v>2030</v>
      </c>
      <c r="I22" s="63">
        <f t="shared" si="12"/>
        <v>41557.535178785183</v>
      </c>
      <c r="J22" s="64">
        <f t="shared" si="5"/>
        <v>2.8903635912456149E-2</v>
      </c>
      <c r="L22" s="61">
        <v>15</v>
      </c>
      <c r="M22" s="65">
        <v>2030</v>
      </c>
      <c r="N22" s="63">
        <f t="shared" si="13"/>
        <v>20362.7351290074</v>
      </c>
      <c r="O22" s="64">
        <f t="shared" si="6"/>
        <v>2.3428352172027322E-2</v>
      </c>
      <c r="Q22" s="97">
        <f t="shared" si="7"/>
        <v>15</v>
      </c>
      <c r="R22" s="65">
        <f t="shared" si="8"/>
        <v>2030</v>
      </c>
      <c r="S22" s="63">
        <f t="shared" si="14"/>
        <v>10278.583795437036</v>
      </c>
      <c r="T22" s="64">
        <f t="shared" si="9"/>
        <v>-7.0291314171572417E-2</v>
      </c>
    </row>
  </sheetData>
  <mergeCells count="4">
    <mergeCell ref="B6:E6"/>
    <mergeCell ref="G6:J6"/>
    <mergeCell ref="L6:O6"/>
    <mergeCell ref="Q6:T6"/>
  </mergeCells>
  <pageMargins left="0.7" right="0.7" top="0.75" bottom="0.75" header="0.3" footer="0.3"/>
  <pageSetup scale="4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1F4B-95AD-40F9-BBA5-E81942780021}">
  <sheetPr>
    <pageSetUpPr fitToPage="1"/>
  </sheetPr>
  <dimension ref="B3:L49"/>
  <sheetViews>
    <sheetView showGridLines="0" zoomScale="60" zoomScaleNormal="60" workbookViewId="0">
      <selection activeCell="M33" sqref="M33"/>
    </sheetView>
  </sheetViews>
  <sheetFormatPr defaultRowHeight="14.4" x14ac:dyDescent="0.3"/>
  <cols>
    <col min="1" max="1" width="1.88671875" customWidth="1"/>
    <col min="2" max="2" width="23.33203125" customWidth="1"/>
    <col min="3" max="3" width="15.77734375" customWidth="1"/>
    <col min="4" max="4" width="16.33203125" customWidth="1"/>
    <col min="5" max="5" width="12.5546875" customWidth="1"/>
    <col min="6" max="6" width="6.109375" customWidth="1"/>
    <col min="7" max="7" width="13.88671875" customWidth="1"/>
    <col min="8" max="8" width="11.88671875" customWidth="1"/>
    <col min="9" max="9" width="11.77734375" customWidth="1"/>
    <col min="10" max="10" width="11.33203125" customWidth="1"/>
    <col min="11" max="11" width="13.88671875" customWidth="1"/>
    <col min="12" max="12" width="25" customWidth="1"/>
  </cols>
  <sheetData>
    <row r="3" spans="2:12" x14ac:dyDescent="0.3">
      <c r="B3" s="102" t="s">
        <v>252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6" spans="2:12" x14ac:dyDescent="0.3">
      <c r="B6" s="67" t="s">
        <v>155</v>
      </c>
      <c r="C6" s="67"/>
      <c r="D6" s="67"/>
      <c r="E6" s="67"/>
      <c r="F6" s="67"/>
      <c r="G6" s="67"/>
      <c r="H6" s="66"/>
      <c r="I6" s="66"/>
      <c r="J6" s="66"/>
      <c r="K6" s="66"/>
      <c r="L6" s="66"/>
    </row>
    <row r="8" spans="2:12" x14ac:dyDescent="0.3">
      <c r="B8" s="68" t="s">
        <v>156</v>
      </c>
      <c r="C8" s="68"/>
      <c r="D8" s="68"/>
      <c r="E8" s="68"/>
      <c r="F8" s="68"/>
      <c r="G8" s="68"/>
      <c r="H8" s="68"/>
    </row>
    <row r="10" spans="2:12" x14ac:dyDescent="0.3">
      <c r="B10" s="2" t="s">
        <v>157</v>
      </c>
    </row>
    <row r="11" spans="2:12" x14ac:dyDescent="0.3">
      <c r="B11" s="69"/>
      <c r="C11" s="69"/>
      <c r="D11" s="69"/>
      <c r="E11" s="69"/>
      <c r="F11" s="69"/>
      <c r="G11" s="69"/>
      <c r="H11" s="69"/>
      <c r="I11" s="69" t="s">
        <v>164</v>
      </c>
      <c r="J11" s="69" t="s">
        <v>164</v>
      </c>
      <c r="K11" s="69" t="s">
        <v>166</v>
      </c>
      <c r="L11" s="69" t="s">
        <v>167</v>
      </c>
    </row>
    <row r="12" spans="2:12" ht="16.2" x14ac:dyDescent="0.3">
      <c r="B12" s="70" t="s">
        <v>158</v>
      </c>
      <c r="C12" s="70"/>
      <c r="D12" s="70" t="s">
        <v>159</v>
      </c>
      <c r="E12" s="70" t="s">
        <v>160</v>
      </c>
      <c r="F12" s="70"/>
      <c r="G12" s="70" t="s">
        <v>161</v>
      </c>
      <c r="H12" s="70" t="s">
        <v>162</v>
      </c>
      <c r="I12" s="70" t="s">
        <v>163</v>
      </c>
      <c r="J12" s="70" t="s">
        <v>165</v>
      </c>
      <c r="K12" s="70" t="s">
        <v>168</v>
      </c>
      <c r="L12" s="70" t="s">
        <v>169</v>
      </c>
    </row>
    <row r="14" spans="2:12" x14ac:dyDescent="0.3">
      <c r="B14" s="72" t="s">
        <v>233</v>
      </c>
      <c r="C14" s="72"/>
      <c r="D14" s="72" t="s">
        <v>171</v>
      </c>
      <c r="E14" s="93">
        <v>101107</v>
      </c>
      <c r="F14" s="93"/>
      <c r="G14" s="93">
        <v>285152.14</v>
      </c>
      <c r="H14" s="73">
        <v>0.3</v>
      </c>
      <c r="I14" s="74">
        <f>E14/G14</f>
        <v>0.35457212420008488</v>
      </c>
      <c r="J14" s="74">
        <f>E14/(E14+G14)</f>
        <v>0.26175950166512563</v>
      </c>
      <c r="K14" s="75">
        <v>1.18</v>
      </c>
      <c r="L14" s="77">
        <f>K14/(1+(1-H14)*I14)</f>
        <v>0.94536095150286981</v>
      </c>
    </row>
    <row r="15" spans="2:12" x14ac:dyDescent="0.3">
      <c r="B15" s="72" t="s">
        <v>170</v>
      </c>
      <c r="C15" s="72"/>
      <c r="D15" s="72" t="s">
        <v>171</v>
      </c>
      <c r="E15" s="93">
        <v>95643.13</v>
      </c>
      <c r="F15" s="93"/>
      <c r="G15" s="93">
        <v>243928.11</v>
      </c>
      <c r="H15" s="73">
        <v>0.3</v>
      </c>
      <c r="I15" s="74">
        <f t="shared" ref="I15:I18" si="0">E15/G15</f>
        <v>0.3920955645497356</v>
      </c>
      <c r="J15" s="74">
        <f t="shared" ref="J15:J18" si="1">E15/(E15+G15)</f>
        <v>0.2816585114805365</v>
      </c>
      <c r="K15" s="75">
        <f>'Beta Regression'!J8</f>
        <v>1.2983570627844727</v>
      </c>
      <c r="L15" s="77">
        <f t="shared" ref="L15:L18" si="2">K15/(1+(1-H15)*I15)</f>
        <v>1.0187452241324741</v>
      </c>
    </row>
    <row r="16" spans="2:12" x14ac:dyDescent="0.3">
      <c r="B16" s="72" t="s">
        <v>234</v>
      </c>
      <c r="C16" s="72"/>
      <c r="D16" s="72" t="s">
        <v>171</v>
      </c>
      <c r="E16" s="93">
        <v>19155.98</v>
      </c>
      <c r="F16" s="93"/>
      <c r="G16" s="93">
        <v>118126.13</v>
      </c>
      <c r="H16" s="73">
        <v>0.3</v>
      </c>
      <c r="I16" s="74">
        <f t="shared" si="0"/>
        <v>0.1621654751577826</v>
      </c>
      <c r="J16" s="74">
        <f t="shared" si="1"/>
        <v>0.13953733665661169</v>
      </c>
      <c r="K16" s="75">
        <v>1.18</v>
      </c>
      <c r="L16" s="77">
        <f t="shared" si="2"/>
        <v>1.0597065308300928</v>
      </c>
    </row>
    <row r="17" spans="2:12" x14ac:dyDescent="0.3">
      <c r="B17" s="72" t="s">
        <v>235</v>
      </c>
      <c r="C17" s="72"/>
      <c r="D17" s="72" t="s">
        <v>171</v>
      </c>
      <c r="E17" s="93">
        <v>6861.97</v>
      </c>
      <c r="F17" s="93"/>
      <c r="G17" s="93">
        <v>60273.39</v>
      </c>
      <c r="H17" s="73">
        <v>0.3</v>
      </c>
      <c r="I17" s="74">
        <f t="shared" si="0"/>
        <v>0.11384742089336605</v>
      </c>
      <c r="J17" s="74">
        <f t="shared" si="1"/>
        <v>0.10221096602446163</v>
      </c>
      <c r="K17" s="75">
        <v>1.29</v>
      </c>
      <c r="L17" s="77">
        <f t="shared" si="2"/>
        <v>1.1947838575083529</v>
      </c>
    </row>
    <row r="18" spans="2:12" x14ac:dyDescent="0.3">
      <c r="B18" s="72" t="s">
        <v>236</v>
      </c>
      <c r="C18" s="72"/>
      <c r="D18" s="72" t="s">
        <v>171</v>
      </c>
      <c r="E18" s="93">
        <v>5309.93</v>
      </c>
      <c r="F18" s="93"/>
      <c r="G18" s="93">
        <v>10834.49</v>
      </c>
      <c r="H18" s="73">
        <v>0.3</v>
      </c>
      <c r="I18" s="74">
        <f t="shared" si="0"/>
        <v>0.49009505754308696</v>
      </c>
      <c r="J18" s="74">
        <f t="shared" si="1"/>
        <v>0.3289018744556943</v>
      </c>
      <c r="K18" s="75">
        <v>1.99</v>
      </c>
      <c r="L18" s="77">
        <f t="shared" si="2"/>
        <v>1.4816838483556369</v>
      </c>
    </row>
    <row r="20" spans="2:12" x14ac:dyDescent="0.3">
      <c r="G20" s="78" t="s">
        <v>172</v>
      </c>
      <c r="H20" s="80">
        <f>AVERAGE(H14:H18)</f>
        <v>0.3</v>
      </c>
      <c r="I20" s="80">
        <f t="shared" ref="I20:L20" si="3">AVERAGE(I14:I18)</f>
        <v>0.30255512846881116</v>
      </c>
      <c r="J20" s="80">
        <f t="shared" si="3"/>
        <v>0.22281363805648596</v>
      </c>
      <c r="K20" s="82">
        <f t="shared" si="3"/>
        <v>1.3876714125568945</v>
      </c>
      <c r="L20" s="83">
        <f t="shared" si="3"/>
        <v>1.1400560824658854</v>
      </c>
    </row>
    <row r="21" spans="2:12" x14ac:dyDescent="0.3">
      <c r="G21" s="79" t="s">
        <v>147</v>
      </c>
      <c r="H21" s="81">
        <f>MEDIAN(H14:H18)</f>
        <v>0.3</v>
      </c>
      <c r="I21" s="81">
        <f t="shared" ref="I21:L21" si="4">MEDIAN(I14:I18)</f>
        <v>0.35457212420008488</v>
      </c>
      <c r="J21" s="81">
        <f t="shared" si="4"/>
        <v>0.26175950166512563</v>
      </c>
      <c r="K21" s="84">
        <f t="shared" si="4"/>
        <v>1.29</v>
      </c>
      <c r="L21" s="85">
        <f t="shared" si="4"/>
        <v>1.0597065308300928</v>
      </c>
    </row>
    <row r="24" spans="2:12" x14ac:dyDescent="0.3">
      <c r="B24" s="79" t="s">
        <v>173</v>
      </c>
      <c r="C24" s="79"/>
      <c r="D24" s="70"/>
      <c r="E24" s="70"/>
      <c r="H24" s="79" t="s">
        <v>176</v>
      </c>
      <c r="I24" s="70"/>
      <c r="J24" s="70"/>
      <c r="K24" s="70"/>
      <c r="L24" s="70"/>
    </row>
    <row r="26" spans="2:12" x14ac:dyDescent="0.3">
      <c r="B26" t="s">
        <v>174</v>
      </c>
      <c r="E26" s="73">
        <f>7163/95643.13</f>
        <v>7.4892990223134684E-2</v>
      </c>
      <c r="F26" s="73"/>
    </row>
    <row r="27" spans="2:12" x14ac:dyDescent="0.3">
      <c r="B27" t="s">
        <v>175</v>
      </c>
      <c r="E27" s="104">
        <f>H14</f>
        <v>0.3</v>
      </c>
      <c r="F27" s="10"/>
      <c r="H27" t="s">
        <v>177</v>
      </c>
      <c r="L27" s="94">
        <v>6.7100000000000007E-2</v>
      </c>
    </row>
    <row r="28" spans="2:12" x14ac:dyDescent="0.3">
      <c r="B28" s="37" t="s">
        <v>249</v>
      </c>
      <c r="C28" s="37"/>
      <c r="D28" s="37"/>
      <c r="E28" s="87">
        <f>E26*(1-E27)</f>
        <v>5.2425093156194279E-2</v>
      </c>
      <c r="F28" s="90"/>
      <c r="H28" t="s">
        <v>178</v>
      </c>
      <c r="L28" s="71">
        <f>'return on market'!G8-'DCF Modelling(WACC)'!L27</f>
        <v>8.4392307692307697E-2</v>
      </c>
    </row>
    <row r="29" spans="2:12" ht="16.2" x14ac:dyDescent="0.3">
      <c r="E29" t="s">
        <v>250</v>
      </c>
      <c r="H29" t="s">
        <v>179</v>
      </c>
      <c r="L29" s="76">
        <f>'Beta Regression'!J14</f>
        <v>1.2237677970883545</v>
      </c>
    </row>
    <row r="30" spans="2:12" x14ac:dyDescent="0.3">
      <c r="H30" s="37" t="s">
        <v>176</v>
      </c>
      <c r="I30" s="37"/>
      <c r="J30" s="37"/>
      <c r="K30" s="37"/>
      <c r="L30" s="87">
        <f>L27+L28*L29</f>
        <v>0.17037658847581799</v>
      </c>
    </row>
    <row r="33" spans="2:12" x14ac:dyDescent="0.3">
      <c r="B33" s="79" t="s">
        <v>180</v>
      </c>
      <c r="C33" s="79"/>
      <c r="D33" s="70"/>
      <c r="E33" s="70"/>
      <c r="H33" s="79" t="s">
        <v>184</v>
      </c>
      <c r="I33" s="70"/>
      <c r="J33" s="70"/>
      <c r="K33" s="70"/>
      <c r="L33" s="70"/>
    </row>
    <row r="35" spans="2:12" x14ac:dyDescent="0.3">
      <c r="D35" s="88" t="s">
        <v>181</v>
      </c>
      <c r="E35" s="88" t="s">
        <v>182</v>
      </c>
      <c r="F35" s="89"/>
      <c r="H35" t="s">
        <v>185</v>
      </c>
      <c r="L35" s="76">
        <f>L21</f>
        <v>1.0597065308300928</v>
      </c>
    </row>
    <row r="36" spans="2:12" x14ac:dyDescent="0.3">
      <c r="B36" t="s">
        <v>160</v>
      </c>
      <c r="C36" s="93">
        <f>E15</f>
        <v>95643.13</v>
      </c>
      <c r="D36" s="10">
        <f>C36/$C$38</f>
        <v>0.2816585114805365</v>
      </c>
      <c r="E36" s="73">
        <f>J20</f>
        <v>0.22281363805648596</v>
      </c>
      <c r="H36" t="s">
        <v>186</v>
      </c>
      <c r="L36" s="71">
        <f>E40</f>
        <v>0.28669267625758993</v>
      </c>
    </row>
    <row r="37" spans="2:12" x14ac:dyDescent="0.3">
      <c r="B37" t="s">
        <v>44</v>
      </c>
      <c r="C37" s="93">
        <f>G15</f>
        <v>243928.11</v>
      </c>
      <c r="D37" s="10">
        <f>C37/$C$38</f>
        <v>0.71834148851946356</v>
      </c>
      <c r="E37" s="71">
        <f>E38-E36</f>
        <v>0.77718636194351398</v>
      </c>
      <c r="H37" t="s">
        <v>175</v>
      </c>
      <c r="L37" s="71">
        <f>H18</f>
        <v>0.3</v>
      </c>
    </row>
    <row r="38" spans="2:12" x14ac:dyDescent="0.3">
      <c r="B38" s="37" t="s">
        <v>183</v>
      </c>
      <c r="C38" s="37">
        <f>SUM(C36:C37)</f>
        <v>339571.24</v>
      </c>
      <c r="D38" s="38">
        <f>C38/$C$38</f>
        <v>1</v>
      </c>
      <c r="E38" s="86">
        <v>1</v>
      </c>
      <c r="H38" s="37" t="s">
        <v>184</v>
      </c>
      <c r="I38" s="37"/>
      <c r="J38" s="37"/>
      <c r="K38" s="37"/>
      <c r="L38" s="92">
        <f>L35*(1+(1-L37)*L36)</f>
        <v>1.2723736017900205</v>
      </c>
    </row>
    <row r="40" spans="2:12" x14ac:dyDescent="0.3">
      <c r="B40" t="s">
        <v>187</v>
      </c>
      <c r="D40" s="91">
        <f>D36/D37</f>
        <v>0.39209556454973565</v>
      </c>
      <c r="E40" s="91">
        <f>E36/E37</f>
        <v>0.28669267625758993</v>
      </c>
      <c r="H40" s="79" t="s">
        <v>155</v>
      </c>
      <c r="I40" s="79"/>
      <c r="J40" s="79"/>
      <c r="K40" s="70"/>
      <c r="L40" s="70"/>
    </row>
    <row r="42" spans="2:12" x14ac:dyDescent="0.3">
      <c r="B42" s="95" t="s">
        <v>188</v>
      </c>
      <c r="L42" s="2"/>
    </row>
    <row r="43" spans="2:12" x14ac:dyDescent="0.3">
      <c r="B43" s="96" t="s">
        <v>189</v>
      </c>
      <c r="C43" s="96"/>
      <c r="D43" s="96"/>
      <c r="H43" t="s">
        <v>246</v>
      </c>
      <c r="L43" s="71">
        <f>L30</f>
        <v>0.17037658847581799</v>
      </c>
    </row>
    <row r="44" spans="2:12" x14ac:dyDescent="0.3">
      <c r="B44" s="96" t="s">
        <v>190</v>
      </c>
      <c r="C44" s="96"/>
      <c r="D44" s="96"/>
      <c r="H44" t="s">
        <v>247</v>
      </c>
      <c r="L44" s="71">
        <f>E37</f>
        <v>0.77718636194351398</v>
      </c>
    </row>
    <row r="45" spans="2:12" x14ac:dyDescent="0.3">
      <c r="B45" s="96" t="s">
        <v>191</v>
      </c>
      <c r="C45" s="96"/>
      <c r="D45" s="96"/>
    </row>
    <row r="46" spans="2:12" x14ac:dyDescent="0.3">
      <c r="B46" s="96" t="s">
        <v>192</v>
      </c>
      <c r="C46" s="96"/>
      <c r="D46" s="96"/>
      <c r="H46" t="s">
        <v>173</v>
      </c>
      <c r="L46" s="71">
        <f>E28</f>
        <v>5.2425093156194279E-2</v>
      </c>
    </row>
    <row r="47" spans="2:12" x14ac:dyDescent="0.3">
      <c r="H47" t="s">
        <v>248</v>
      </c>
      <c r="L47" s="71">
        <f>E36</f>
        <v>0.22281363805648596</v>
      </c>
    </row>
    <row r="49" spans="8:12" x14ac:dyDescent="0.3">
      <c r="H49" s="106" t="s">
        <v>251</v>
      </c>
      <c r="I49" s="106"/>
      <c r="J49" s="106"/>
      <c r="K49" s="106"/>
      <c r="L49" s="107">
        <f>(L43*L44)+(L46*L47)</f>
        <v>0.14409538668945004</v>
      </c>
    </row>
  </sheetData>
  <pageMargins left="0.7" right="0.7" top="0.75" bottom="0.75" header="0.3" footer="0.3"/>
  <pageSetup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EBE5-B32D-48C2-AB59-30DAA1A8EF5F}">
  <sheetPr>
    <pageSetUpPr fitToPage="1"/>
  </sheetPr>
  <dimension ref="B2:H30"/>
  <sheetViews>
    <sheetView showGridLines="0" workbookViewId="0">
      <selection activeCell="H25" sqref="H25"/>
    </sheetView>
  </sheetViews>
  <sheetFormatPr defaultRowHeight="14.4" x14ac:dyDescent="0.3"/>
  <cols>
    <col min="1" max="1" width="1.88671875" customWidth="1"/>
    <col min="2" max="2" width="11.77734375" style="54" customWidth="1"/>
    <col min="3" max="3" width="11.88671875" style="54" customWidth="1"/>
  </cols>
  <sheetData>
    <row r="2" spans="2:8" x14ac:dyDescent="0.3">
      <c r="B2" s="101" t="s">
        <v>238</v>
      </c>
      <c r="C2" s="101"/>
      <c r="D2" s="102"/>
      <c r="E2" s="102"/>
      <c r="F2" s="102"/>
      <c r="G2" s="102"/>
      <c r="H2" s="102"/>
    </row>
    <row r="4" spans="2:8" x14ac:dyDescent="0.3">
      <c r="B4" s="98" t="s">
        <v>150</v>
      </c>
      <c r="C4" s="98" t="s">
        <v>237</v>
      </c>
    </row>
    <row r="5" spans="2:8" x14ac:dyDescent="0.3">
      <c r="B5" s="54">
        <v>2000</v>
      </c>
      <c r="C5" s="100">
        <v>-0.14649999999999999</v>
      </c>
    </row>
    <row r="6" spans="2:8" x14ac:dyDescent="0.3">
      <c r="B6" s="54">
        <v>2001</v>
      </c>
      <c r="C6" s="100">
        <v>-0.1618</v>
      </c>
      <c r="E6" t="s">
        <v>239</v>
      </c>
      <c r="G6" s="71">
        <f>AVERAGE(C5:C30)</f>
        <v>0.1514923076923077</v>
      </c>
    </row>
    <row r="7" spans="2:8" ht="16.2" x14ac:dyDescent="0.3">
      <c r="B7" s="54">
        <v>2002</v>
      </c>
      <c r="C7" s="100">
        <v>3.2500000000000001E-2</v>
      </c>
      <c r="E7" t="s">
        <v>240</v>
      </c>
      <c r="G7" s="29" t="s">
        <v>241</v>
      </c>
    </row>
    <row r="8" spans="2:8" x14ac:dyDescent="0.3">
      <c r="B8" s="54">
        <v>2003</v>
      </c>
      <c r="C8" s="100">
        <v>0.71900000000000008</v>
      </c>
      <c r="E8" s="2" t="s">
        <v>242</v>
      </c>
      <c r="F8" s="2"/>
      <c r="G8" s="103">
        <f>SUM(G6:G7)</f>
        <v>0.1514923076923077</v>
      </c>
    </row>
    <row r="9" spans="2:8" x14ac:dyDescent="0.3">
      <c r="B9" s="54">
        <v>2004</v>
      </c>
      <c r="C9" s="100">
        <v>0.10679999999999999</v>
      </c>
    </row>
    <row r="10" spans="2:8" x14ac:dyDescent="0.3">
      <c r="B10" s="54">
        <v>2005</v>
      </c>
      <c r="C10" s="100">
        <v>0.36340000000000006</v>
      </c>
    </row>
    <row r="11" spans="2:8" x14ac:dyDescent="0.3">
      <c r="B11" s="54">
        <v>2006</v>
      </c>
      <c r="C11" s="100">
        <v>0.39829999999999999</v>
      </c>
    </row>
    <row r="12" spans="2:8" x14ac:dyDescent="0.3">
      <c r="B12" s="54">
        <v>2007</v>
      </c>
      <c r="C12" s="100">
        <v>0.54770000000000008</v>
      </c>
    </row>
    <row r="13" spans="2:8" x14ac:dyDescent="0.3">
      <c r="B13" s="54">
        <v>2008</v>
      </c>
      <c r="C13" s="100">
        <v>-0.51790000000000003</v>
      </c>
    </row>
    <row r="14" spans="2:8" x14ac:dyDescent="0.3">
      <c r="B14" s="54">
        <v>2009</v>
      </c>
      <c r="C14" s="100">
        <v>0.75760000000000005</v>
      </c>
    </row>
    <row r="15" spans="2:8" x14ac:dyDescent="0.3">
      <c r="B15" s="54">
        <v>2010</v>
      </c>
      <c r="C15" s="100">
        <v>0.17949999999999999</v>
      </c>
    </row>
    <row r="16" spans="2:8" x14ac:dyDescent="0.3">
      <c r="B16" s="54">
        <v>2011</v>
      </c>
      <c r="C16" s="100">
        <v>-0.2462</v>
      </c>
    </row>
    <row r="17" spans="2:3" x14ac:dyDescent="0.3">
      <c r="B17" s="54">
        <v>2012</v>
      </c>
      <c r="C17" s="100">
        <v>0.27699999999999997</v>
      </c>
    </row>
    <row r="18" spans="2:3" x14ac:dyDescent="0.3">
      <c r="B18" s="54">
        <v>2013</v>
      </c>
      <c r="C18" s="100">
        <v>6.7599999999999993E-2</v>
      </c>
    </row>
    <row r="19" spans="2:3" x14ac:dyDescent="0.3">
      <c r="B19" s="54">
        <v>2014</v>
      </c>
      <c r="C19" s="100">
        <v>0.31390000000000001</v>
      </c>
    </row>
    <row r="20" spans="2:3" x14ac:dyDescent="0.3">
      <c r="B20" s="54">
        <v>2015</v>
      </c>
      <c r="C20" s="100">
        <v>-4.0599999999999997E-2</v>
      </c>
    </row>
    <row r="21" spans="2:3" x14ac:dyDescent="0.3">
      <c r="B21" s="54">
        <v>2016</v>
      </c>
      <c r="C21" s="100">
        <v>3.0099999999999998E-2</v>
      </c>
    </row>
    <row r="22" spans="2:3" x14ac:dyDescent="0.3">
      <c r="B22" s="54">
        <v>2017</v>
      </c>
      <c r="C22" s="100">
        <v>0.28649999999999998</v>
      </c>
    </row>
    <row r="23" spans="2:3" x14ac:dyDescent="0.3">
      <c r="B23" s="54">
        <v>2018</v>
      </c>
      <c r="C23" s="100">
        <v>3.15E-2</v>
      </c>
    </row>
    <row r="24" spans="2:3" x14ac:dyDescent="0.3">
      <c r="B24" s="54">
        <v>2019</v>
      </c>
      <c r="C24" s="100">
        <v>0.1202</v>
      </c>
    </row>
    <row r="25" spans="2:3" x14ac:dyDescent="0.3">
      <c r="B25" s="54">
        <v>2020</v>
      </c>
      <c r="C25" s="100">
        <v>0.14899999999999999</v>
      </c>
    </row>
    <row r="26" spans="2:3" x14ac:dyDescent="0.3">
      <c r="B26" s="54">
        <v>2021</v>
      </c>
      <c r="C26" s="100">
        <v>0.2412</v>
      </c>
    </row>
    <row r="27" spans="2:3" x14ac:dyDescent="0.3">
      <c r="B27" s="54">
        <v>2022</v>
      </c>
      <c r="C27" s="100">
        <v>4.3200000000000002E-2</v>
      </c>
    </row>
    <row r="28" spans="2:3" x14ac:dyDescent="0.3">
      <c r="B28" s="54">
        <v>2023</v>
      </c>
      <c r="C28" s="100">
        <v>0.19420000000000001</v>
      </c>
    </row>
    <row r="29" spans="2:3" x14ac:dyDescent="0.3">
      <c r="B29" s="54">
        <v>2024</v>
      </c>
      <c r="C29" s="100">
        <v>8.7499999999999994E-2</v>
      </c>
    </row>
    <row r="30" spans="2:3" x14ac:dyDescent="0.3">
      <c r="B30" s="54">
        <v>2025</v>
      </c>
      <c r="C30" s="100">
        <v>0.1051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60A22-D45D-47DB-AD44-439C89B7B9A6}">
  <dimension ref="C2:F8"/>
  <sheetViews>
    <sheetView showGridLines="0" zoomScale="120" zoomScaleNormal="120" workbookViewId="0">
      <selection activeCell="G8" sqref="G8"/>
    </sheetView>
  </sheetViews>
  <sheetFormatPr defaultRowHeight="14.4" x14ac:dyDescent="0.3"/>
  <cols>
    <col min="1" max="1" width="1.88671875" customWidth="1"/>
    <col min="4" max="4" width="12" customWidth="1"/>
  </cols>
  <sheetData>
    <row r="2" spans="3:6" x14ac:dyDescent="0.3">
      <c r="C2" s="213" t="s">
        <v>33</v>
      </c>
      <c r="D2" s="213"/>
      <c r="E2" s="213"/>
      <c r="F2" s="213"/>
    </row>
    <row r="3" spans="3:6" x14ac:dyDescent="0.3">
      <c r="C3" s="102" t="s">
        <v>243</v>
      </c>
      <c r="D3" s="102"/>
      <c r="E3" s="102"/>
      <c r="F3" s="102"/>
    </row>
    <row r="5" spans="3:6" x14ac:dyDescent="0.3">
      <c r="C5" t="s">
        <v>244</v>
      </c>
      <c r="E5" s="72">
        <v>7163</v>
      </c>
    </row>
    <row r="6" spans="3:6" x14ac:dyDescent="0.3">
      <c r="C6" t="s">
        <v>160</v>
      </c>
      <c r="E6" s="72">
        <v>95643.13</v>
      </c>
    </row>
    <row r="8" spans="3:6" x14ac:dyDescent="0.3">
      <c r="C8" s="97" t="s">
        <v>245</v>
      </c>
      <c r="D8" s="97"/>
      <c r="E8" s="64">
        <f>E5/E6</f>
        <v>7.4892990223134684E-2</v>
      </c>
    </row>
  </sheetData>
  <mergeCells count="1">
    <mergeCell ref="C2:F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5B6F0-0DA6-4435-846B-C435D8FDBEA8}">
  <sheetPr>
    <pageSetUpPr fitToPage="1"/>
  </sheetPr>
  <dimension ref="B2:Q114"/>
  <sheetViews>
    <sheetView showGridLines="0" zoomScale="60" zoomScaleNormal="60" workbookViewId="0">
      <selection activeCell="B9" sqref="B9:C114"/>
    </sheetView>
  </sheetViews>
  <sheetFormatPr defaultRowHeight="14.4" x14ac:dyDescent="0.3"/>
  <cols>
    <col min="1" max="1" width="1.88671875" customWidth="1"/>
    <col min="2" max="2" width="18.21875" style="204" customWidth="1"/>
    <col min="3" max="3" width="19.44140625" style="54" customWidth="1"/>
    <col min="6" max="6" width="14.44140625" style="54" customWidth="1"/>
    <col min="9" max="9" width="17.77734375" customWidth="1"/>
    <col min="10" max="10" width="14.88671875" customWidth="1"/>
    <col min="11" max="11" width="13.44140625" customWidth="1"/>
    <col min="12" max="12" width="13.88671875" customWidth="1"/>
    <col min="13" max="13" width="13.6640625" customWidth="1"/>
    <col min="14" max="14" width="11.21875" customWidth="1"/>
    <col min="15" max="15" width="11.5546875" customWidth="1"/>
    <col min="16" max="16" width="11" customWidth="1"/>
    <col min="17" max="17" width="11.77734375" customWidth="1"/>
  </cols>
  <sheetData>
    <row r="2" spans="2:13" x14ac:dyDescent="0.3">
      <c r="B2" s="213" t="s">
        <v>527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</row>
    <row r="4" spans="2:13" x14ac:dyDescent="0.3">
      <c r="B4" s="205" t="s">
        <v>417</v>
      </c>
    </row>
    <row r="6" spans="2:13" x14ac:dyDescent="0.3">
      <c r="B6" s="213" t="s">
        <v>418</v>
      </c>
      <c r="C6" s="213"/>
      <c r="D6" s="213"/>
      <c r="F6" s="213" t="s">
        <v>419</v>
      </c>
      <c r="G6" s="213"/>
      <c r="I6" s="217" t="s">
        <v>196</v>
      </c>
      <c r="J6" s="217"/>
    </row>
    <row r="8" spans="2:13" x14ac:dyDescent="0.3">
      <c r="B8" s="206" t="s">
        <v>194</v>
      </c>
      <c r="C8" s="202" t="s">
        <v>195</v>
      </c>
      <c r="D8" s="179" t="s">
        <v>420</v>
      </c>
      <c r="F8" s="202" t="s">
        <v>195</v>
      </c>
      <c r="G8" s="179" t="s">
        <v>420</v>
      </c>
      <c r="I8" s="54" t="s">
        <v>199</v>
      </c>
      <c r="J8" s="76">
        <f>M11</f>
        <v>1.2983570627844727</v>
      </c>
      <c r="L8" t="s">
        <v>197</v>
      </c>
      <c r="M8" s="76">
        <f>SLOPE(D10:D114,G10:G114)</f>
        <v>1.2983713296892274</v>
      </c>
    </row>
    <row r="9" spans="2:13" x14ac:dyDescent="0.3">
      <c r="B9" s="207" t="s">
        <v>421</v>
      </c>
      <c r="C9" s="54">
        <v>196.7</v>
      </c>
      <c r="F9" s="203">
        <v>23114.5</v>
      </c>
      <c r="I9" t="s">
        <v>200</v>
      </c>
      <c r="J9" s="10">
        <v>0.75</v>
      </c>
      <c r="L9" t="s">
        <v>198</v>
      </c>
      <c r="M9" s="76">
        <f>_xlfn.COVARIANCE.S(D10:D114,G10:G114)/_xlfn.VAR.S(G10:G114)</f>
        <v>1.2983713296892281</v>
      </c>
    </row>
    <row r="10" spans="2:13" x14ac:dyDescent="0.3">
      <c r="B10" s="207" t="s">
        <v>422</v>
      </c>
      <c r="C10" s="54">
        <v>196.7</v>
      </c>
      <c r="D10" s="10">
        <f>C10/C9-1</f>
        <v>0</v>
      </c>
      <c r="F10" s="203">
        <v>23114.5</v>
      </c>
      <c r="G10" s="10">
        <f>F10/F9-1</f>
        <v>0</v>
      </c>
      <c r="J10" s="76"/>
      <c r="M10" s="76"/>
    </row>
    <row r="11" spans="2:13" x14ac:dyDescent="0.3">
      <c r="B11" s="207" t="s">
        <v>423</v>
      </c>
      <c r="C11" s="54">
        <v>183.4</v>
      </c>
      <c r="D11" s="10">
        <f t="shared" ref="D11:D74" si="0">C11/C10-1</f>
        <v>-6.7615658362989217E-2</v>
      </c>
      <c r="E11" s="152"/>
      <c r="F11" s="203">
        <v>23151.1</v>
      </c>
      <c r="G11" s="10">
        <f t="shared" ref="G11:G74" si="1">F11/F10-1</f>
        <v>1.5834216617274244E-3</v>
      </c>
      <c r="I11" t="s">
        <v>202</v>
      </c>
      <c r="J11" s="76">
        <v>1</v>
      </c>
      <c r="L11" t="s">
        <v>201</v>
      </c>
      <c r="M11" s="76">
        <f>J34</f>
        <v>1.2983570627844727</v>
      </c>
    </row>
    <row r="12" spans="2:13" x14ac:dyDescent="0.3">
      <c r="B12" s="207" t="s">
        <v>424</v>
      </c>
      <c r="C12" s="54">
        <v>198.5</v>
      </c>
      <c r="D12" s="10">
        <f t="shared" si="0"/>
        <v>8.2333696837513681E-2</v>
      </c>
      <c r="F12" s="203">
        <v>24450.45</v>
      </c>
      <c r="G12" s="10">
        <f t="shared" si="1"/>
        <v>5.6124762970226172E-2</v>
      </c>
      <c r="I12" t="s">
        <v>204</v>
      </c>
      <c r="J12" s="10">
        <v>0.25</v>
      </c>
    </row>
    <row r="13" spans="2:13" x14ac:dyDescent="0.3">
      <c r="B13" s="207" t="s">
        <v>425</v>
      </c>
      <c r="C13" s="54">
        <v>212.35</v>
      </c>
      <c r="D13" s="10">
        <f t="shared" si="0"/>
        <v>6.9773299748110862E-2</v>
      </c>
      <c r="F13" s="203">
        <v>25178.65</v>
      </c>
      <c r="G13" s="10">
        <f t="shared" si="1"/>
        <v>2.9782682936305926E-2</v>
      </c>
    </row>
    <row r="14" spans="2:13" x14ac:dyDescent="0.3">
      <c r="B14" s="207" t="s">
        <v>426</v>
      </c>
      <c r="C14" s="54">
        <v>208.25</v>
      </c>
      <c r="D14" s="10">
        <f t="shared" si="0"/>
        <v>-1.9307746644690371E-2</v>
      </c>
      <c r="F14" s="203">
        <v>25571.25</v>
      </c>
      <c r="G14" s="10">
        <f t="shared" si="1"/>
        <v>1.5592575455792845E-2</v>
      </c>
      <c r="I14" s="97" t="s">
        <v>206</v>
      </c>
      <c r="J14" s="99">
        <f>(J8*J9)+(J11*J12)</f>
        <v>1.2237677970883545</v>
      </c>
    </row>
    <row r="15" spans="2:13" x14ac:dyDescent="0.3">
      <c r="B15" s="207" t="s">
        <v>427</v>
      </c>
      <c r="C15" s="54">
        <v>203.2</v>
      </c>
      <c r="D15" s="10">
        <f t="shared" si="0"/>
        <v>-2.4249699879952069E-2</v>
      </c>
      <c r="F15" s="203">
        <v>25471.1</v>
      </c>
      <c r="G15" s="10">
        <f t="shared" si="1"/>
        <v>-3.9165077968421613E-3</v>
      </c>
    </row>
    <row r="16" spans="2:13" x14ac:dyDescent="0.3">
      <c r="B16" s="207" t="s">
        <v>428</v>
      </c>
      <c r="C16" s="54">
        <v>197.05</v>
      </c>
      <c r="D16" s="10">
        <f t="shared" si="0"/>
        <v>-3.0265748031495954E-2</v>
      </c>
      <c r="F16" s="203">
        <v>25693.7</v>
      </c>
      <c r="G16" s="10">
        <f t="shared" si="1"/>
        <v>8.7393163232056814E-3</v>
      </c>
    </row>
    <row r="17" spans="2:17" x14ac:dyDescent="0.3">
      <c r="B17" s="207" t="s">
        <v>429</v>
      </c>
      <c r="C17" s="54">
        <v>185.6</v>
      </c>
      <c r="D17" s="10">
        <f t="shared" si="0"/>
        <v>-5.8107079421466756E-2</v>
      </c>
      <c r="F17" s="203">
        <v>24825.45</v>
      </c>
      <c r="G17" s="10">
        <f t="shared" si="1"/>
        <v>-3.3792330415627125E-2</v>
      </c>
      <c r="I17" t="s">
        <v>203</v>
      </c>
    </row>
    <row r="18" spans="2:17" ht="15" thickBot="1" x14ac:dyDescent="0.35">
      <c r="B18" s="207" t="s">
        <v>430</v>
      </c>
      <c r="C18" s="54">
        <v>187.55</v>
      </c>
      <c r="D18" s="10">
        <f t="shared" si="0"/>
        <v>1.0506465517241548E-2</v>
      </c>
      <c r="F18" s="203">
        <v>25048.65</v>
      </c>
      <c r="G18" s="10">
        <f t="shared" si="1"/>
        <v>8.9907735811436407E-3</v>
      </c>
    </row>
    <row r="19" spans="2:17" x14ac:dyDescent="0.3">
      <c r="B19" s="207" t="s">
        <v>431</v>
      </c>
      <c r="C19" s="54">
        <v>188.1</v>
      </c>
      <c r="D19" s="10">
        <f t="shared" si="0"/>
        <v>2.9325513196480912E-3</v>
      </c>
      <c r="F19" s="203">
        <v>25694.35</v>
      </c>
      <c r="G19" s="10">
        <f t="shared" si="1"/>
        <v>2.5777836330500792E-2</v>
      </c>
      <c r="I19" s="210" t="s">
        <v>205</v>
      </c>
      <c r="J19" s="210"/>
    </row>
    <row r="20" spans="2:17" x14ac:dyDescent="0.3">
      <c r="B20" s="207" t="s">
        <v>432</v>
      </c>
      <c r="C20" s="54">
        <v>178.3</v>
      </c>
      <c r="D20" s="10">
        <f t="shared" si="0"/>
        <v>-5.2099946836788869E-2</v>
      </c>
      <c r="F20" s="203">
        <v>25683.3</v>
      </c>
      <c r="G20" s="10">
        <f t="shared" si="1"/>
        <v>-4.3005563479903142E-4</v>
      </c>
      <c r="I20" t="s">
        <v>207</v>
      </c>
      <c r="J20">
        <v>0.60853044254952682</v>
      </c>
    </row>
    <row r="21" spans="2:17" x14ac:dyDescent="0.3">
      <c r="B21" s="207" t="s">
        <v>433</v>
      </c>
      <c r="C21" s="54">
        <v>182.85</v>
      </c>
      <c r="D21" s="10">
        <f t="shared" si="0"/>
        <v>2.5518788558609007E-2</v>
      </c>
      <c r="F21" s="203">
        <v>26328.55</v>
      </c>
      <c r="G21" s="10">
        <f t="shared" si="1"/>
        <v>2.5123329167201947E-2</v>
      </c>
      <c r="I21" t="s">
        <v>208</v>
      </c>
      <c r="J21">
        <v>0.3703092995095229</v>
      </c>
    </row>
    <row r="22" spans="2:17" x14ac:dyDescent="0.3">
      <c r="B22" s="207" t="s">
        <v>434</v>
      </c>
      <c r="C22" s="54">
        <v>169.15</v>
      </c>
      <c r="D22" s="10">
        <f t="shared" si="0"/>
        <v>-7.4924801750068326E-2</v>
      </c>
      <c r="F22" s="203">
        <v>26042.3</v>
      </c>
      <c r="G22" s="10">
        <f t="shared" si="1"/>
        <v>-1.0872228056615363E-2</v>
      </c>
      <c r="I22" t="s">
        <v>209</v>
      </c>
      <c r="J22">
        <v>0.36413586126942016</v>
      </c>
    </row>
    <row r="23" spans="2:17" x14ac:dyDescent="0.3">
      <c r="B23" s="207" t="s">
        <v>435</v>
      </c>
      <c r="C23" s="54">
        <v>168.65</v>
      </c>
      <c r="D23" s="10">
        <f t="shared" si="0"/>
        <v>-2.9559562518475246E-3</v>
      </c>
      <c r="F23" s="203">
        <v>25966.400000000001</v>
      </c>
      <c r="G23" s="10">
        <f t="shared" si="1"/>
        <v>-2.9144891196245526E-3</v>
      </c>
      <c r="I23" t="s">
        <v>210</v>
      </c>
      <c r="J23">
        <v>3.0825702600948999E-2</v>
      </c>
    </row>
    <row r="24" spans="2:17" ht="15" thickBot="1" x14ac:dyDescent="0.35">
      <c r="B24" s="207" t="s">
        <v>436</v>
      </c>
      <c r="C24" s="54">
        <v>171.9</v>
      </c>
      <c r="D24" s="10">
        <f t="shared" si="0"/>
        <v>1.9270678920841888E-2</v>
      </c>
      <c r="F24" s="203">
        <v>26046.95</v>
      </c>
      <c r="G24" s="10">
        <f t="shared" si="1"/>
        <v>3.10208577238269E-3</v>
      </c>
      <c r="I24" s="208" t="s">
        <v>211</v>
      </c>
      <c r="J24" s="208">
        <v>104</v>
      </c>
    </row>
    <row r="25" spans="2:17" x14ac:dyDescent="0.3">
      <c r="B25" s="207" t="s">
        <v>437</v>
      </c>
      <c r="C25" s="54">
        <v>167.1</v>
      </c>
      <c r="D25" s="10">
        <f t="shared" si="0"/>
        <v>-2.7923211169284534E-2</v>
      </c>
      <c r="F25" s="203">
        <v>26186.45</v>
      </c>
      <c r="G25" s="10">
        <f t="shared" si="1"/>
        <v>5.3557134328587885E-3</v>
      </c>
    </row>
    <row r="26" spans="2:17" ht="15" thickBot="1" x14ac:dyDescent="0.35">
      <c r="B26" s="207" t="s">
        <v>438</v>
      </c>
      <c r="C26" s="54">
        <v>167.85</v>
      </c>
      <c r="D26" s="10">
        <f t="shared" si="0"/>
        <v>4.4883303411131781E-3</v>
      </c>
      <c r="F26" s="203">
        <v>26202.95</v>
      </c>
      <c r="G26" s="10">
        <f t="shared" si="1"/>
        <v>6.3009686307236024E-4</v>
      </c>
      <c r="I26" t="s">
        <v>212</v>
      </c>
    </row>
    <row r="27" spans="2:17" x14ac:dyDescent="0.3">
      <c r="B27" s="207" t="s">
        <v>439</v>
      </c>
      <c r="C27" s="54">
        <v>168</v>
      </c>
      <c r="D27" s="10">
        <f t="shared" si="0"/>
        <v>8.9365504915095428E-4</v>
      </c>
      <c r="F27" s="203">
        <v>26068.15</v>
      </c>
      <c r="G27" s="10">
        <f t="shared" si="1"/>
        <v>-5.144458925426254E-3</v>
      </c>
      <c r="I27" s="209"/>
      <c r="J27" s="209" t="s">
        <v>213</v>
      </c>
      <c r="K27" s="209" t="s">
        <v>214</v>
      </c>
      <c r="L27" s="209" t="s">
        <v>215</v>
      </c>
      <c r="M27" s="209" t="s">
        <v>216</v>
      </c>
      <c r="N27" s="209" t="s">
        <v>217</v>
      </c>
    </row>
    <row r="28" spans="2:17" x14ac:dyDescent="0.3">
      <c r="B28" s="207" t="s">
        <v>440</v>
      </c>
      <c r="C28" s="54">
        <v>174.15</v>
      </c>
      <c r="D28" s="10">
        <f t="shared" si="0"/>
        <v>3.6607142857142838E-2</v>
      </c>
      <c r="F28" s="203">
        <v>25910.05</v>
      </c>
      <c r="G28" s="10">
        <f t="shared" si="1"/>
        <v>-6.0648722674989664E-3</v>
      </c>
      <c r="I28" t="s">
        <v>218</v>
      </c>
      <c r="J28">
        <v>1</v>
      </c>
      <c r="K28">
        <v>5.6998506865208645E-2</v>
      </c>
      <c r="L28">
        <v>5.6998506865208645E-2</v>
      </c>
      <c r="M28">
        <v>59.984288350694101</v>
      </c>
      <c r="N28">
        <v>7.2601811035484131E-12</v>
      </c>
    </row>
    <row r="29" spans="2:17" x14ac:dyDescent="0.3">
      <c r="B29" s="207" t="s">
        <v>441</v>
      </c>
      <c r="C29" s="54">
        <v>181.45</v>
      </c>
      <c r="D29" s="10">
        <f t="shared" si="0"/>
        <v>4.1917886879127009E-2</v>
      </c>
      <c r="F29" s="203">
        <v>25492.3</v>
      </c>
      <c r="G29" s="10">
        <f t="shared" si="1"/>
        <v>-1.6123087373432266E-2</v>
      </c>
      <c r="I29" t="s">
        <v>219</v>
      </c>
      <c r="J29">
        <v>102</v>
      </c>
      <c r="K29">
        <v>9.6922841965899689E-2</v>
      </c>
      <c r="L29">
        <v>9.5022394084215379E-4</v>
      </c>
    </row>
    <row r="30" spans="2:17" ht="15" thickBot="1" x14ac:dyDescent="0.35">
      <c r="B30" s="207" t="s">
        <v>442</v>
      </c>
      <c r="C30" s="54">
        <v>182.95</v>
      </c>
      <c r="D30" s="10">
        <f t="shared" si="0"/>
        <v>8.2667401488012437E-3</v>
      </c>
      <c r="F30" s="203">
        <v>25722.1</v>
      </c>
      <c r="G30" s="10">
        <f t="shared" si="1"/>
        <v>9.0144867273647122E-3</v>
      </c>
      <c r="I30" s="208" t="s">
        <v>13</v>
      </c>
      <c r="J30" s="208">
        <v>103</v>
      </c>
      <c r="K30" s="208">
        <v>0.15392134883110833</v>
      </c>
      <c r="L30" s="208"/>
      <c r="M30" s="208"/>
      <c r="N30" s="208"/>
    </row>
    <row r="31" spans="2:17" ht="15" thickBot="1" x14ac:dyDescent="0.35">
      <c r="B31" s="207" t="s">
        <v>443</v>
      </c>
      <c r="C31" s="54">
        <v>174.5</v>
      </c>
      <c r="D31" s="10">
        <f t="shared" si="0"/>
        <v>-4.6187482918830236E-2</v>
      </c>
      <c r="F31" s="203">
        <v>25795.15</v>
      </c>
      <c r="G31" s="10">
        <f t="shared" si="1"/>
        <v>2.839970297915162E-3</v>
      </c>
    </row>
    <row r="32" spans="2:17" x14ac:dyDescent="0.3">
      <c r="B32" s="207" t="s">
        <v>444</v>
      </c>
      <c r="C32" s="54">
        <v>172.25</v>
      </c>
      <c r="D32" s="10">
        <f t="shared" si="0"/>
        <v>-1.2893982808022897E-2</v>
      </c>
      <c r="F32" s="203">
        <v>25709.85</v>
      </c>
      <c r="G32" s="10">
        <f t="shared" si="1"/>
        <v>-3.3068231818773608E-3</v>
      </c>
      <c r="I32" s="209"/>
      <c r="J32" s="209" t="s">
        <v>220</v>
      </c>
      <c r="K32" s="209" t="s">
        <v>210</v>
      </c>
      <c r="L32" s="209" t="s">
        <v>221</v>
      </c>
      <c r="M32" s="209" t="s">
        <v>222</v>
      </c>
      <c r="N32" s="209" t="s">
        <v>223</v>
      </c>
      <c r="O32" s="209" t="s">
        <v>224</v>
      </c>
      <c r="P32" s="209" t="s">
        <v>225</v>
      </c>
      <c r="Q32" s="209" t="s">
        <v>528</v>
      </c>
    </row>
    <row r="33" spans="2:17" x14ac:dyDescent="0.3">
      <c r="B33" s="207" t="s">
        <v>445</v>
      </c>
      <c r="C33" s="54">
        <v>173.8</v>
      </c>
      <c r="D33" s="10">
        <f t="shared" si="0"/>
        <v>8.9985486211900945E-3</v>
      </c>
      <c r="F33" s="203">
        <v>25285.35</v>
      </c>
      <c r="G33" s="10">
        <f t="shared" si="1"/>
        <v>-1.6511181512144146E-2</v>
      </c>
      <c r="I33" t="s">
        <v>226</v>
      </c>
      <c r="J33">
        <v>-1.7967523160049639E-3</v>
      </c>
      <c r="K33">
        <v>3.0230503729317655E-3</v>
      </c>
      <c r="L33">
        <v>-0.59435076970367084</v>
      </c>
      <c r="M33">
        <v>0.55359356022671946</v>
      </c>
      <c r="N33">
        <v>-7.7929583971118703E-3</v>
      </c>
      <c r="O33">
        <v>4.1994537651019424E-3</v>
      </c>
      <c r="P33">
        <v>-7.7929583971118703E-3</v>
      </c>
      <c r="Q33">
        <v>4.1994537651019424E-3</v>
      </c>
    </row>
    <row r="34" spans="2:17" ht="15" thickBot="1" x14ac:dyDescent="0.35">
      <c r="B34" s="207" t="s">
        <v>446</v>
      </c>
      <c r="C34" s="54">
        <v>173.2</v>
      </c>
      <c r="D34" s="10">
        <f t="shared" si="0"/>
        <v>-3.4522439585732423E-3</v>
      </c>
      <c r="F34" s="203">
        <v>24894.25</v>
      </c>
      <c r="G34" s="10">
        <f t="shared" si="1"/>
        <v>-1.5467454474626607E-2</v>
      </c>
      <c r="I34" s="208">
        <v>0</v>
      </c>
      <c r="J34" s="208">
        <v>1.2983570627844727</v>
      </c>
      <c r="K34" s="208">
        <v>0.16763912654997506</v>
      </c>
      <c r="L34" s="208">
        <v>7.7449524434107468</v>
      </c>
      <c r="M34" s="208">
        <v>7.2601811035484131E-12</v>
      </c>
      <c r="N34" s="208">
        <v>0.96584565012297441</v>
      </c>
      <c r="O34" s="208">
        <v>1.630868475445971</v>
      </c>
      <c r="P34" s="208">
        <v>0.96584565012297441</v>
      </c>
      <c r="Q34" s="208">
        <v>1.630868475445971</v>
      </c>
    </row>
    <row r="35" spans="2:17" x14ac:dyDescent="0.3">
      <c r="B35" s="207" t="s">
        <v>447</v>
      </c>
      <c r="C35" s="54">
        <v>167.45</v>
      </c>
      <c r="D35" s="10">
        <f t="shared" si="0"/>
        <v>-3.3198614318706743E-2</v>
      </c>
      <c r="F35" s="203">
        <v>24654.7</v>
      </c>
      <c r="G35" s="10">
        <f t="shared" si="1"/>
        <v>-9.6227040380810758E-3</v>
      </c>
    </row>
    <row r="36" spans="2:17" x14ac:dyDescent="0.3">
      <c r="B36" s="207" t="s">
        <v>448</v>
      </c>
      <c r="C36" s="54">
        <v>171.5</v>
      </c>
      <c r="D36" s="10">
        <f t="shared" si="0"/>
        <v>2.4186324275903281E-2</v>
      </c>
      <c r="F36" s="203">
        <v>25327.05</v>
      </c>
      <c r="G36" s="10">
        <f t="shared" si="1"/>
        <v>2.7270662388915623E-2</v>
      </c>
    </row>
    <row r="37" spans="2:17" x14ac:dyDescent="0.3">
      <c r="B37" s="207" t="s">
        <v>449</v>
      </c>
      <c r="C37" s="54">
        <v>169.8</v>
      </c>
      <c r="D37" s="10">
        <f t="shared" si="0"/>
        <v>-9.9125364431486007E-3</v>
      </c>
      <c r="F37" s="203">
        <v>25114</v>
      </c>
      <c r="G37" s="10">
        <f t="shared" si="1"/>
        <v>-8.4119548072120187E-3</v>
      </c>
    </row>
    <row r="38" spans="2:17" x14ac:dyDescent="0.3">
      <c r="B38" s="207" t="s">
        <v>450</v>
      </c>
      <c r="C38" s="54">
        <v>167.65</v>
      </c>
      <c r="D38" s="10">
        <f t="shared" si="0"/>
        <v>-1.2661955241460521E-2</v>
      </c>
      <c r="F38" s="203">
        <v>24741</v>
      </c>
      <c r="G38" s="10">
        <f t="shared" si="1"/>
        <v>-1.4852273632236956E-2</v>
      </c>
    </row>
    <row r="39" spans="2:17" x14ac:dyDescent="0.3">
      <c r="B39" s="207" t="s">
        <v>451</v>
      </c>
      <c r="C39" s="54">
        <v>154.44999999999999</v>
      </c>
      <c r="D39" s="10">
        <f t="shared" si="0"/>
        <v>-7.8735460781389932E-2</v>
      </c>
      <c r="F39" s="203">
        <v>24426.85</v>
      </c>
      <c r="G39" s="10">
        <f t="shared" si="1"/>
        <v>-1.2697546582595698E-2</v>
      </c>
    </row>
    <row r="40" spans="2:17" x14ac:dyDescent="0.3">
      <c r="B40" s="207" t="s">
        <v>452</v>
      </c>
      <c r="C40" s="54">
        <v>158.55000000000001</v>
      </c>
      <c r="D40" s="10">
        <f t="shared" si="0"/>
        <v>2.6545807704758895E-2</v>
      </c>
      <c r="F40" s="203">
        <v>24870.1</v>
      </c>
      <c r="G40" s="10">
        <f t="shared" si="1"/>
        <v>1.8146015552557904E-2</v>
      </c>
    </row>
    <row r="41" spans="2:17" x14ac:dyDescent="0.3">
      <c r="B41" s="207" t="s">
        <v>453</v>
      </c>
      <c r="C41" s="54">
        <v>155.30000000000001</v>
      </c>
      <c r="D41" s="10">
        <f t="shared" si="0"/>
        <v>-2.0498265531378124E-2</v>
      </c>
      <c r="F41" s="203">
        <v>24631.3</v>
      </c>
      <c r="G41" s="10">
        <f t="shared" si="1"/>
        <v>-9.6018914278591661E-3</v>
      </c>
    </row>
    <row r="42" spans="2:17" x14ac:dyDescent="0.3">
      <c r="B42" s="207" t="s">
        <v>454</v>
      </c>
      <c r="C42" s="54">
        <v>158</v>
      </c>
      <c r="D42" s="10">
        <f t="shared" si="0"/>
        <v>1.7385705086928382E-2</v>
      </c>
      <c r="F42" s="203">
        <v>24363.3</v>
      </c>
      <c r="G42" s="10">
        <f t="shared" si="1"/>
        <v>-1.0880465099284198E-2</v>
      </c>
    </row>
    <row r="43" spans="2:17" x14ac:dyDescent="0.3">
      <c r="B43" s="207" t="s">
        <v>455</v>
      </c>
      <c r="C43" s="54">
        <v>153</v>
      </c>
      <c r="D43" s="10">
        <f t="shared" si="0"/>
        <v>-3.1645569620253111E-2</v>
      </c>
      <c r="F43" s="203">
        <v>24565.35</v>
      </c>
      <c r="G43" s="10">
        <f t="shared" si="1"/>
        <v>8.2932115107559046E-3</v>
      </c>
    </row>
    <row r="44" spans="2:17" x14ac:dyDescent="0.3">
      <c r="B44" s="207" t="s">
        <v>456</v>
      </c>
      <c r="C44" s="54">
        <v>161.4</v>
      </c>
      <c r="D44" s="10">
        <f t="shared" si="0"/>
        <v>5.4901960784313752E-2</v>
      </c>
      <c r="F44" s="203">
        <v>24837</v>
      </c>
      <c r="G44" s="10">
        <f t="shared" si="1"/>
        <v>1.1058258889045103E-2</v>
      </c>
    </row>
    <row r="45" spans="2:17" x14ac:dyDescent="0.3">
      <c r="B45" s="207" t="s">
        <v>457</v>
      </c>
      <c r="C45" s="54">
        <v>162.5</v>
      </c>
      <c r="D45" s="10">
        <f t="shared" si="0"/>
        <v>6.8153655514249234E-3</v>
      </c>
      <c r="F45" s="203">
        <v>24968.400000000001</v>
      </c>
      <c r="G45" s="10">
        <f t="shared" si="1"/>
        <v>5.2904940210170004E-3</v>
      </c>
    </row>
    <row r="46" spans="2:17" x14ac:dyDescent="0.3">
      <c r="B46" s="207" t="s">
        <v>458</v>
      </c>
      <c r="C46" s="54">
        <v>159.85</v>
      </c>
      <c r="D46" s="10">
        <f t="shared" si="0"/>
        <v>-1.6307692307692356E-2</v>
      </c>
      <c r="F46" s="203">
        <v>25149.85</v>
      </c>
      <c r="G46" s="10">
        <f t="shared" si="1"/>
        <v>7.267185722753533E-3</v>
      </c>
    </row>
    <row r="47" spans="2:17" x14ac:dyDescent="0.3">
      <c r="B47" s="207" t="s">
        <v>459</v>
      </c>
      <c r="C47" s="54">
        <v>163</v>
      </c>
      <c r="D47" s="10">
        <f t="shared" si="0"/>
        <v>1.9705974350954003E-2</v>
      </c>
      <c r="F47" s="203">
        <v>25461</v>
      </c>
      <c r="G47" s="10">
        <f t="shared" si="1"/>
        <v>1.2371843172026997E-2</v>
      </c>
    </row>
    <row r="48" spans="2:17" x14ac:dyDescent="0.3">
      <c r="B48" s="207" t="s">
        <v>460</v>
      </c>
      <c r="C48" s="54">
        <v>161.4</v>
      </c>
      <c r="D48" s="10">
        <f t="shared" si="0"/>
        <v>-9.8159509202453421E-3</v>
      </c>
      <c r="F48" s="203">
        <v>25637.8</v>
      </c>
      <c r="G48" s="10">
        <f t="shared" si="1"/>
        <v>6.9439534975059836E-3</v>
      </c>
    </row>
    <row r="49" spans="2:7" x14ac:dyDescent="0.3">
      <c r="B49" s="207" t="s">
        <v>461</v>
      </c>
      <c r="C49" s="54">
        <v>151.9</v>
      </c>
      <c r="D49" s="10">
        <f t="shared" si="0"/>
        <v>-5.8859975216852489E-2</v>
      </c>
      <c r="F49" s="203">
        <v>25112.400000000001</v>
      </c>
      <c r="G49" s="10">
        <f t="shared" si="1"/>
        <v>-2.0493178041797622E-2</v>
      </c>
    </row>
    <row r="50" spans="2:7" x14ac:dyDescent="0.3">
      <c r="B50" s="207" t="s">
        <v>462</v>
      </c>
      <c r="C50" s="54">
        <v>152.19999999999999</v>
      </c>
      <c r="D50" s="10">
        <f t="shared" si="0"/>
        <v>1.9749835418036987E-3</v>
      </c>
      <c r="F50" s="203">
        <v>24718.6</v>
      </c>
      <c r="G50" s="10">
        <f t="shared" si="1"/>
        <v>-1.568149599401103E-2</v>
      </c>
    </row>
    <row r="51" spans="2:7" x14ac:dyDescent="0.3">
      <c r="B51" s="207" t="s">
        <v>463</v>
      </c>
      <c r="C51" s="54">
        <v>153.91</v>
      </c>
      <c r="D51" s="10">
        <f t="shared" si="0"/>
        <v>1.1235216819973859E-2</v>
      </c>
      <c r="F51" s="203">
        <v>25003.05</v>
      </c>
      <c r="G51" s="10">
        <f t="shared" si="1"/>
        <v>1.1507528743537332E-2</v>
      </c>
    </row>
    <row r="52" spans="2:7" x14ac:dyDescent="0.3">
      <c r="B52" s="207" t="s">
        <v>464</v>
      </c>
      <c r="C52" s="54">
        <v>157.33000000000001</v>
      </c>
      <c r="D52" s="10">
        <f t="shared" si="0"/>
        <v>2.2220778376973671E-2</v>
      </c>
      <c r="F52" s="203">
        <v>24750.7</v>
      </c>
      <c r="G52" s="10">
        <f t="shared" si="1"/>
        <v>-1.0092768682220754E-2</v>
      </c>
    </row>
    <row r="53" spans="2:7" x14ac:dyDescent="0.3">
      <c r="B53" s="207" t="s">
        <v>465</v>
      </c>
      <c r="C53" s="54">
        <v>159.19</v>
      </c>
      <c r="D53" s="10">
        <f t="shared" si="0"/>
        <v>1.1822284370431424E-2</v>
      </c>
      <c r="F53" s="203">
        <v>24853.15</v>
      </c>
      <c r="G53" s="10">
        <f t="shared" si="1"/>
        <v>4.139276868937003E-3</v>
      </c>
    </row>
    <row r="54" spans="2:7" x14ac:dyDescent="0.3">
      <c r="B54" s="207" t="s">
        <v>466</v>
      </c>
      <c r="C54" s="54">
        <v>153.86000000000001</v>
      </c>
      <c r="D54" s="10">
        <f t="shared" si="0"/>
        <v>-3.3482002638356545E-2</v>
      </c>
      <c r="F54" s="203">
        <v>25019.8</v>
      </c>
      <c r="G54" s="10">
        <f t="shared" si="1"/>
        <v>6.705387445856914E-3</v>
      </c>
    </row>
    <row r="55" spans="2:7" x14ac:dyDescent="0.3">
      <c r="B55" s="207" t="s">
        <v>467</v>
      </c>
      <c r="C55" s="54">
        <v>139.5</v>
      </c>
      <c r="D55" s="10">
        <f t="shared" si="0"/>
        <v>-9.3331600155986072E-2</v>
      </c>
      <c r="F55" s="203">
        <v>24008</v>
      </c>
      <c r="G55" s="10">
        <f t="shared" si="1"/>
        <v>-4.0439971542538311E-2</v>
      </c>
    </row>
    <row r="56" spans="2:7" x14ac:dyDescent="0.3">
      <c r="B56" s="207" t="s">
        <v>468</v>
      </c>
      <c r="C56" s="54">
        <v>138.08000000000001</v>
      </c>
      <c r="D56" s="10">
        <f t="shared" si="0"/>
        <v>-1.0179211469533933E-2</v>
      </c>
      <c r="F56" s="203">
        <v>24346.7</v>
      </c>
      <c r="G56" s="10">
        <f t="shared" si="1"/>
        <v>1.4107797400866318E-2</v>
      </c>
    </row>
    <row r="57" spans="2:7" x14ac:dyDescent="0.3">
      <c r="B57" s="207" t="s">
        <v>469</v>
      </c>
      <c r="C57" s="54">
        <v>135.54</v>
      </c>
      <c r="D57" s="10">
        <f t="shared" si="0"/>
        <v>-1.8395133256083551E-2</v>
      </c>
      <c r="F57" s="203">
        <v>24039.35</v>
      </c>
      <c r="G57" s="10">
        <f t="shared" si="1"/>
        <v>-1.2623887426222113E-2</v>
      </c>
    </row>
    <row r="58" spans="2:7" x14ac:dyDescent="0.3">
      <c r="B58" s="207" t="s">
        <v>470</v>
      </c>
      <c r="C58" s="54">
        <v>134.03</v>
      </c>
      <c r="D58" s="10">
        <f t="shared" si="0"/>
        <v>-1.114062269440752E-2</v>
      </c>
      <c r="F58" s="203">
        <v>23851.65</v>
      </c>
      <c r="G58" s="10">
        <f t="shared" si="1"/>
        <v>-7.8080314151587338E-3</v>
      </c>
    </row>
    <row r="59" spans="2:7" x14ac:dyDescent="0.3">
      <c r="B59" s="207" t="s">
        <v>471</v>
      </c>
      <c r="C59" s="54">
        <v>130.41</v>
      </c>
      <c r="D59" s="10">
        <f t="shared" si="0"/>
        <v>-2.7008878609266596E-2</v>
      </c>
      <c r="F59" s="203">
        <v>22828.55</v>
      </c>
      <c r="G59" s="10">
        <f t="shared" si="1"/>
        <v>-4.2894307102443685E-2</v>
      </c>
    </row>
    <row r="60" spans="2:7" x14ac:dyDescent="0.3">
      <c r="B60" s="207" t="s">
        <v>472</v>
      </c>
      <c r="C60" s="54">
        <v>137.25</v>
      </c>
      <c r="D60" s="10">
        <f t="shared" si="0"/>
        <v>5.2449965493443829E-2</v>
      </c>
      <c r="F60" s="203">
        <v>22904.45</v>
      </c>
      <c r="G60" s="10">
        <f t="shared" si="1"/>
        <v>3.3247840971064591E-3</v>
      </c>
    </row>
    <row r="61" spans="2:7" x14ac:dyDescent="0.3">
      <c r="B61" s="207" t="s">
        <v>473</v>
      </c>
      <c r="C61" s="54">
        <v>150.74</v>
      </c>
      <c r="D61" s="10">
        <f t="shared" si="0"/>
        <v>9.82877959927142E-2</v>
      </c>
      <c r="F61" s="203">
        <v>23519.35</v>
      </c>
      <c r="G61" s="10">
        <f t="shared" si="1"/>
        <v>2.6846311524616251E-2</v>
      </c>
    </row>
    <row r="62" spans="2:7" x14ac:dyDescent="0.3">
      <c r="B62" s="207" t="s">
        <v>474</v>
      </c>
      <c r="C62" s="54">
        <v>153.66999999999999</v>
      </c>
      <c r="D62" s="10">
        <f t="shared" si="0"/>
        <v>1.9437441953031653E-2</v>
      </c>
      <c r="F62" s="203">
        <v>23350.400000000001</v>
      </c>
      <c r="G62" s="10">
        <f t="shared" si="1"/>
        <v>-7.1834468214468927E-3</v>
      </c>
    </row>
    <row r="63" spans="2:7" x14ac:dyDescent="0.3">
      <c r="B63" s="207" t="s">
        <v>475</v>
      </c>
      <c r="C63" s="54">
        <v>147.41</v>
      </c>
      <c r="D63" s="10">
        <f t="shared" si="0"/>
        <v>-4.0736643456757982E-2</v>
      </c>
      <c r="F63" s="203">
        <v>22397.200000000001</v>
      </c>
      <c r="G63" s="10">
        <f t="shared" si="1"/>
        <v>-4.0821570508428162E-2</v>
      </c>
    </row>
    <row r="64" spans="2:7" x14ac:dyDescent="0.3">
      <c r="B64" s="207" t="s">
        <v>476</v>
      </c>
      <c r="C64" s="54">
        <v>148.1</v>
      </c>
      <c r="D64" s="10">
        <f t="shared" si="0"/>
        <v>4.6808221965946029E-3</v>
      </c>
      <c r="F64" s="203">
        <v>22552.5</v>
      </c>
      <c r="G64" s="10">
        <f t="shared" si="1"/>
        <v>6.9339024520922443E-3</v>
      </c>
    </row>
    <row r="65" spans="2:7" x14ac:dyDescent="0.3">
      <c r="B65" s="207" t="s">
        <v>477</v>
      </c>
      <c r="C65" s="54">
        <v>134.07</v>
      </c>
      <c r="D65" s="10">
        <f t="shared" si="0"/>
        <v>-9.4733288318703535E-2</v>
      </c>
      <c r="F65" s="203">
        <v>22124.7</v>
      </c>
      <c r="G65" s="10">
        <f t="shared" si="1"/>
        <v>-1.8969072164948475E-2</v>
      </c>
    </row>
    <row r="66" spans="2:7" x14ac:dyDescent="0.3">
      <c r="B66" s="207" t="s">
        <v>478</v>
      </c>
      <c r="C66" s="54">
        <v>137.4</v>
      </c>
      <c r="D66" s="10">
        <f t="shared" si="0"/>
        <v>2.4837771313493073E-2</v>
      </c>
      <c r="F66" s="203">
        <v>22795.9</v>
      </c>
      <c r="G66" s="10">
        <f t="shared" si="1"/>
        <v>3.0337134514818231E-2</v>
      </c>
    </row>
    <row r="67" spans="2:7" x14ac:dyDescent="0.3">
      <c r="B67" s="207" t="s">
        <v>479</v>
      </c>
      <c r="C67" s="54">
        <v>131.34</v>
      </c>
      <c r="D67" s="10">
        <f t="shared" si="0"/>
        <v>-4.4104803493449807E-2</v>
      </c>
      <c r="F67" s="203">
        <v>22929.25</v>
      </c>
      <c r="G67" s="10">
        <f t="shared" si="1"/>
        <v>5.8497361367613188E-3</v>
      </c>
    </row>
    <row r="68" spans="2:7" x14ac:dyDescent="0.3">
      <c r="B68" s="207" t="s">
        <v>480</v>
      </c>
      <c r="C68" s="54">
        <v>135.15</v>
      </c>
      <c r="D68" s="10">
        <f t="shared" si="0"/>
        <v>2.9008679762448697E-2</v>
      </c>
      <c r="F68" s="203">
        <v>23559.95</v>
      </c>
      <c r="G68" s="10">
        <f t="shared" si="1"/>
        <v>2.7506351058146361E-2</v>
      </c>
    </row>
    <row r="69" spans="2:7" x14ac:dyDescent="0.3">
      <c r="B69" s="207" t="s">
        <v>481</v>
      </c>
      <c r="C69" s="54">
        <v>129.91999999999999</v>
      </c>
      <c r="D69" s="10">
        <f t="shared" si="0"/>
        <v>-3.8697743248242822E-2</v>
      </c>
      <c r="F69" s="203">
        <v>23482.15</v>
      </c>
      <c r="G69" s="10">
        <f t="shared" si="1"/>
        <v>-3.3022141388245885E-3</v>
      </c>
    </row>
    <row r="70" spans="2:7" x14ac:dyDescent="0.3">
      <c r="B70" s="207" t="s">
        <v>482</v>
      </c>
      <c r="C70" s="54">
        <v>127.04</v>
      </c>
      <c r="D70" s="10">
        <f t="shared" si="0"/>
        <v>-2.216748768472887E-2</v>
      </c>
      <c r="F70" s="203">
        <v>23092.2</v>
      </c>
      <c r="G70" s="10">
        <f t="shared" si="1"/>
        <v>-1.6606230690120016E-2</v>
      </c>
    </row>
    <row r="71" spans="2:7" x14ac:dyDescent="0.3">
      <c r="B71" s="207" t="s">
        <v>483</v>
      </c>
      <c r="C71" s="54">
        <v>127.33</v>
      </c>
      <c r="D71" s="10">
        <f t="shared" si="0"/>
        <v>2.2827455919394168E-3</v>
      </c>
      <c r="F71" s="203">
        <v>23203.200000000001</v>
      </c>
      <c r="G71" s="10">
        <f t="shared" si="1"/>
        <v>4.8068178865590117E-3</v>
      </c>
    </row>
    <row r="72" spans="2:7" x14ac:dyDescent="0.3">
      <c r="B72" s="207" t="s">
        <v>484</v>
      </c>
      <c r="C72" s="54">
        <v>124.5</v>
      </c>
      <c r="D72" s="10">
        <f t="shared" si="0"/>
        <v>-2.2225712714992518E-2</v>
      </c>
      <c r="F72" s="203">
        <v>23431.5</v>
      </c>
      <c r="G72" s="10">
        <f t="shared" si="1"/>
        <v>9.8391601158460684E-3</v>
      </c>
    </row>
    <row r="73" spans="2:7" x14ac:dyDescent="0.3">
      <c r="B73" s="207" t="s">
        <v>485</v>
      </c>
      <c r="C73" s="54">
        <v>135.15</v>
      </c>
      <c r="D73" s="10">
        <f t="shared" si="0"/>
        <v>8.5542168674698882E-2</v>
      </c>
      <c r="F73" s="203">
        <v>24004.75</v>
      </c>
      <c r="G73" s="10">
        <f t="shared" si="1"/>
        <v>2.4464929688666981E-2</v>
      </c>
    </row>
    <row r="74" spans="2:7" x14ac:dyDescent="0.3">
      <c r="B74" s="207" t="s">
        <v>486</v>
      </c>
      <c r="C74" s="54">
        <v>135.78</v>
      </c>
      <c r="D74" s="10">
        <f t="shared" si="0"/>
        <v>4.6614872364039162E-3</v>
      </c>
      <c r="F74" s="203">
        <v>23813.4</v>
      </c>
      <c r="G74" s="10">
        <f t="shared" si="1"/>
        <v>-7.9713390058216982E-3</v>
      </c>
    </row>
    <row r="75" spans="2:7" x14ac:dyDescent="0.3">
      <c r="B75" s="207" t="s">
        <v>487</v>
      </c>
      <c r="C75" s="54">
        <v>137.63999999999999</v>
      </c>
      <c r="D75" s="10">
        <f t="shared" ref="D75:D114" si="2">C75/C74-1</f>
        <v>1.3698630136986134E-2</v>
      </c>
      <c r="F75" s="203">
        <v>23587.5</v>
      </c>
      <c r="G75" s="10">
        <f t="shared" ref="G75:G114" si="3">F75/F74-1</f>
        <v>-9.4862556375822082E-3</v>
      </c>
    </row>
    <row r="76" spans="2:7" x14ac:dyDescent="0.3">
      <c r="B76" s="207" t="s">
        <v>488</v>
      </c>
      <c r="C76" s="54">
        <v>145.56</v>
      </c>
      <c r="D76" s="10">
        <f t="shared" si="2"/>
        <v>5.7541412380122114E-2</v>
      </c>
      <c r="F76" s="203">
        <v>24768.3</v>
      </c>
      <c r="G76" s="10">
        <f t="shared" si="3"/>
        <v>5.0060413354531041E-2</v>
      </c>
    </row>
    <row r="77" spans="2:7" x14ac:dyDescent="0.3">
      <c r="B77" s="207" t="s">
        <v>489</v>
      </c>
      <c r="C77" s="54">
        <v>144.87</v>
      </c>
      <c r="D77" s="10">
        <f t="shared" si="2"/>
        <v>-4.7403132728771613E-3</v>
      </c>
      <c r="F77" s="203">
        <v>24677.8</v>
      </c>
      <c r="G77" s="10">
        <f t="shared" si="3"/>
        <v>-3.653864011660013E-3</v>
      </c>
    </row>
    <row r="78" spans="2:7" x14ac:dyDescent="0.3">
      <c r="B78" s="207" t="s">
        <v>490</v>
      </c>
      <c r="C78" s="54">
        <v>141.26</v>
      </c>
      <c r="D78" s="10">
        <f t="shared" si="2"/>
        <v>-2.4918892800441905E-2</v>
      </c>
      <c r="F78" s="203">
        <v>24131.1</v>
      </c>
      <c r="G78" s="10">
        <f t="shared" si="3"/>
        <v>-2.2153514494809179E-2</v>
      </c>
    </row>
    <row r="79" spans="2:7" x14ac:dyDescent="0.3">
      <c r="B79" s="207" t="s">
        <v>491</v>
      </c>
      <c r="C79" s="54">
        <v>139.55000000000001</v>
      </c>
      <c r="D79" s="10">
        <f t="shared" si="2"/>
        <v>-1.2105337675208716E-2</v>
      </c>
      <c r="F79" s="203">
        <v>23907.25</v>
      </c>
      <c r="G79" s="10">
        <f t="shared" si="3"/>
        <v>-9.2764109385812255E-3</v>
      </c>
    </row>
    <row r="80" spans="2:7" x14ac:dyDescent="0.3">
      <c r="B80" s="207" t="s">
        <v>492</v>
      </c>
      <c r="C80" s="54">
        <v>134.86000000000001</v>
      </c>
      <c r="D80" s="10">
        <f t="shared" si="2"/>
        <v>-3.3608025797205232E-2</v>
      </c>
      <c r="F80" s="203">
        <v>23532.7</v>
      </c>
      <c r="G80" s="10">
        <f t="shared" si="3"/>
        <v>-1.5666795637306663E-2</v>
      </c>
    </row>
    <row r="81" spans="2:7" x14ac:dyDescent="0.3">
      <c r="B81" s="207" t="s">
        <v>493</v>
      </c>
      <c r="C81" s="54">
        <v>144.19</v>
      </c>
      <c r="D81" s="10">
        <f t="shared" si="2"/>
        <v>6.9182856295417317E-2</v>
      </c>
      <c r="F81" s="203">
        <v>24148.2</v>
      </c>
      <c r="G81" s="10">
        <f t="shared" si="3"/>
        <v>2.6155094825498049E-2</v>
      </c>
    </row>
    <row r="82" spans="2:7" x14ac:dyDescent="0.3">
      <c r="B82" s="207" t="s">
        <v>494</v>
      </c>
      <c r="C82" s="54">
        <v>146.29</v>
      </c>
      <c r="D82" s="10">
        <f t="shared" si="2"/>
        <v>1.4564116790346082E-2</v>
      </c>
      <c r="F82" s="203">
        <v>24304.35</v>
      </c>
      <c r="G82" s="10">
        <f t="shared" si="3"/>
        <v>6.4663204710908584E-3</v>
      </c>
    </row>
    <row r="83" spans="2:7" x14ac:dyDescent="0.3">
      <c r="B83" s="207" t="s">
        <v>495</v>
      </c>
      <c r="C83" s="54">
        <v>142.47999999999999</v>
      </c>
      <c r="D83" s="10">
        <f t="shared" si="2"/>
        <v>-2.6044158862533306E-2</v>
      </c>
      <c r="F83" s="203">
        <v>24180.799999999999</v>
      </c>
      <c r="G83" s="10">
        <f t="shared" si="3"/>
        <v>-5.0834521392261189E-3</v>
      </c>
    </row>
    <row r="84" spans="2:7" x14ac:dyDescent="0.3">
      <c r="B84" s="207" t="s">
        <v>496</v>
      </c>
      <c r="C84" s="54">
        <v>151.76</v>
      </c>
      <c r="D84" s="10">
        <f t="shared" si="2"/>
        <v>6.5131948343627233E-2</v>
      </c>
      <c r="F84" s="203">
        <v>24854.05</v>
      </c>
      <c r="G84" s="10">
        <f t="shared" si="3"/>
        <v>2.7842337722490562E-2</v>
      </c>
    </row>
    <row r="85" spans="2:7" x14ac:dyDescent="0.3">
      <c r="B85" s="207" t="s">
        <v>497</v>
      </c>
      <c r="C85" s="54">
        <v>157.04</v>
      </c>
      <c r="D85" s="10">
        <f t="shared" si="2"/>
        <v>3.4791776489193404E-2</v>
      </c>
      <c r="F85" s="203">
        <v>24964.25</v>
      </c>
      <c r="G85" s="10">
        <f t="shared" si="3"/>
        <v>4.4338850207512603E-3</v>
      </c>
    </row>
    <row r="86" spans="2:7" x14ac:dyDescent="0.3">
      <c r="B86" s="207" t="s">
        <v>498</v>
      </c>
      <c r="C86" s="54">
        <v>162.94999999999999</v>
      </c>
      <c r="D86" s="10">
        <f t="shared" si="2"/>
        <v>3.7633723892001925E-2</v>
      </c>
      <c r="F86" s="203">
        <v>25014.6</v>
      </c>
      <c r="G86" s="10">
        <f t="shared" si="3"/>
        <v>2.0168841443264363E-3</v>
      </c>
    </row>
    <row r="87" spans="2:7" x14ac:dyDescent="0.3">
      <c r="B87" s="207" t="s">
        <v>499</v>
      </c>
      <c r="C87" s="54">
        <v>162.71</v>
      </c>
      <c r="D87" s="10">
        <f t="shared" si="2"/>
        <v>-1.4728444308068633E-3</v>
      </c>
      <c r="F87" s="203">
        <v>26178.95</v>
      </c>
      <c r="G87" s="10">
        <f t="shared" si="3"/>
        <v>4.6546816659071233E-2</v>
      </c>
    </row>
    <row r="88" spans="2:7" x14ac:dyDescent="0.3">
      <c r="B88" s="207" t="s">
        <v>500</v>
      </c>
      <c r="C88" s="54">
        <v>148.59</v>
      </c>
      <c r="D88" s="10">
        <f t="shared" si="2"/>
        <v>-8.6780161022678381E-2</v>
      </c>
      <c r="F88" s="203">
        <v>25790.95</v>
      </c>
      <c r="G88" s="10">
        <f t="shared" si="3"/>
        <v>-1.4821068071866894E-2</v>
      </c>
    </row>
    <row r="89" spans="2:7" x14ac:dyDescent="0.3">
      <c r="B89" s="207" t="s">
        <v>501</v>
      </c>
      <c r="C89" s="54">
        <v>149.9</v>
      </c>
      <c r="D89" s="10">
        <f t="shared" si="2"/>
        <v>8.8162056665994637E-3</v>
      </c>
      <c r="F89" s="203">
        <v>25356.5</v>
      </c>
      <c r="G89" s="10">
        <f t="shared" si="3"/>
        <v>-1.684505611464493E-2</v>
      </c>
    </row>
    <row r="90" spans="2:7" x14ac:dyDescent="0.3">
      <c r="B90" s="207" t="s">
        <v>502</v>
      </c>
      <c r="C90" s="54">
        <v>147.80000000000001</v>
      </c>
      <c r="D90" s="10">
        <f t="shared" si="2"/>
        <v>-1.4009339559706402E-2</v>
      </c>
      <c r="F90" s="203">
        <v>24852.15</v>
      </c>
      <c r="G90" s="10">
        <f t="shared" si="3"/>
        <v>-1.9890363417664036E-2</v>
      </c>
    </row>
    <row r="91" spans="2:7" x14ac:dyDescent="0.3">
      <c r="B91" s="207" t="s">
        <v>503</v>
      </c>
      <c r="C91" s="54">
        <v>149.32</v>
      </c>
      <c r="D91" s="10">
        <f t="shared" si="2"/>
        <v>1.0284167794316623E-2</v>
      </c>
      <c r="F91" s="203">
        <v>25235.9</v>
      </c>
      <c r="G91" s="10">
        <f t="shared" si="3"/>
        <v>1.544131996628062E-2</v>
      </c>
    </row>
    <row r="92" spans="2:7" x14ac:dyDescent="0.3">
      <c r="B92" s="207" t="s">
        <v>504</v>
      </c>
      <c r="C92" s="54">
        <v>150.63999999999999</v>
      </c>
      <c r="D92" s="10">
        <f t="shared" si="2"/>
        <v>8.8400750066970346E-3</v>
      </c>
      <c r="F92" s="203">
        <v>24823.15</v>
      </c>
      <c r="G92" s="10">
        <f t="shared" si="3"/>
        <v>-1.6355667917530181E-2</v>
      </c>
    </row>
    <row r="93" spans="2:7" x14ac:dyDescent="0.3">
      <c r="B93" s="207" t="s">
        <v>505</v>
      </c>
      <c r="C93" s="54">
        <v>146.13999999999999</v>
      </c>
      <c r="D93" s="10">
        <f t="shared" si="2"/>
        <v>-2.9872543813064256E-2</v>
      </c>
      <c r="F93" s="203">
        <v>24541.15</v>
      </c>
      <c r="G93" s="10">
        <f t="shared" si="3"/>
        <v>-1.1360363209342861E-2</v>
      </c>
    </row>
    <row r="94" spans="2:7" x14ac:dyDescent="0.3">
      <c r="B94" s="207" t="s">
        <v>506</v>
      </c>
      <c r="C94" s="54">
        <v>148.34</v>
      </c>
      <c r="D94" s="10">
        <f t="shared" si="2"/>
        <v>1.5054057752839967E-2</v>
      </c>
      <c r="F94" s="203">
        <v>24367.5</v>
      </c>
      <c r="G94" s="10">
        <f t="shared" si="3"/>
        <v>-7.0758705276647849E-3</v>
      </c>
    </row>
    <row r="95" spans="2:7" x14ac:dyDescent="0.3">
      <c r="B95" s="207" t="s">
        <v>507</v>
      </c>
      <c r="C95" s="54">
        <v>154.6</v>
      </c>
      <c r="D95" s="10">
        <f t="shared" si="2"/>
        <v>4.2200350546042875E-2</v>
      </c>
      <c r="F95" s="203">
        <v>24717.7</v>
      </c>
      <c r="G95" s="10">
        <f t="shared" si="3"/>
        <v>1.4371601518415877E-2</v>
      </c>
    </row>
    <row r="96" spans="2:7" x14ac:dyDescent="0.3">
      <c r="B96" s="207" t="s">
        <v>508</v>
      </c>
      <c r="C96" s="54">
        <v>158.9</v>
      </c>
      <c r="D96" s="10">
        <f t="shared" si="2"/>
        <v>2.781371280724465E-2</v>
      </c>
      <c r="F96" s="203">
        <v>24834.85</v>
      </c>
      <c r="G96" s="10">
        <f t="shared" si="3"/>
        <v>4.7395186445340354E-3</v>
      </c>
    </row>
    <row r="97" spans="2:7" x14ac:dyDescent="0.3">
      <c r="B97" s="207" t="s">
        <v>509</v>
      </c>
      <c r="C97" s="54">
        <v>154.16</v>
      </c>
      <c r="D97" s="10">
        <f t="shared" si="2"/>
        <v>-2.9830081812460718E-2</v>
      </c>
      <c r="F97" s="203">
        <v>24530.9</v>
      </c>
      <c r="G97" s="10">
        <f t="shared" si="3"/>
        <v>-1.2238849842056476E-2</v>
      </c>
    </row>
    <row r="98" spans="2:7" x14ac:dyDescent="0.3">
      <c r="B98" s="207" t="s">
        <v>510</v>
      </c>
      <c r="C98" s="54">
        <v>164.86</v>
      </c>
      <c r="D98" s="10">
        <f t="shared" si="2"/>
        <v>6.9408406850026028E-2</v>
      </c>
      <c r="F98" s="203">
        <v>24502.15</v>
      </c>
      <c r="G98" s="10">
        <f t="shared" si="3"/>
        <v>-1.1719912436967128E-3</v>
      </c>
    </row>
    <row r="99" spans="2:7" x14ac:dyDescent="0.3">
      <c r="B99" s="207" t="s">
        <v>511</v>
      </c>
      <c r="C99" s="54">
        <v>170.77</v>
      </c>
      <c r="D99" s="10">
        <f t="shared" si="2"/>
        <v>3.5848598811112353E-2</v>
      </c>
      <c r="F99" s="203">
        <v>24323.85</v>
      </c>
      <c r="G99" s="10">
        <f t="shared" si="3"/>
        <v>-7.2769124342150215E-3</v>
      </c>
    </row>
    <row r="100" spans="2:7" x14ac:dyDescent="0.3">
      <c r="B100" s="207" t="s">
        <v>512</v>
      </c>
      <c r="C100" s="54">
        <v>170.04</v>
      </c>
      <c r="D100" s="10">
        <f t="shared" si="2"/>
        <v>-4.2747555191193776E-3</v>
      </c>
      <c r="F100" s="203">
        <v>24010.6</v>
      </c>
      <c r="G100" s="10">
        <f t="shared" si="3"/>
        <v>-1.2878306682535867E-2</v>
      </c>
    </row>
    <row r="101" spans="2:7" x14ac:dyDescent="0.3">
      <c r="B101" s="207" t="s">
        <v>513</v>
      </c>
      <c r="C101" s="54">
        <v>172.28</v>
      </c>
      <c r="D101" s="10">
        <f t="shared" si="2"/>
        <v>1.3173370971536258E-2</v>
      </c>
      <c r="F101" s="203">
        <v>23501.1</v>
      </c>
      <c r="G101" s="10">
        <f t="shared" si="3"/>
        <v>-2.1219794590722429E-2</v>
      </c>
    </row>
    <row r="102" spans="2:7" x14ac:dyDescent="0.3">
      <c r="B102" s="207" t="s">
        <v>514</v>
      </c>
      <c r="C102" s="54">
        <v>175.35</v>
      </c>
      <c r="D102" s="10">
        <f t="shared" si="2"/>
        <v>1.7819828186672826E-2</v>
      </c>
      <c r="F102" s="203">
        <v>23465.599999999999</v>
      </c>
      <c r="G102" s="10">
        <f t="shared" si="3"/>
        <v>-1.5105675904532045E-3</v>
      </c>
    </row>
    <row r="103" spans="2:7" x14ac:dyDescent="0.3">
      <c r="B103" s="207" t="s">
        <v>515</v>
      </c>
      <c r="C103" s="54">
        <v>171.42</v>
      </c>
      <c r="D103" s="10">
        <f t="shared" si="2"/>
        <v>-2.2412318220701444E-2</v>
      </c>
      <c r="F103" s="203">
        <v>23290.15</v>
      </c>
      <c r="G103" s="10">
        <f t="shared" si="3"/>
        <v>-7.4769023591980677E-3</v>
      </c>
    </row>
    <row r="104" spans="2:7" x14ac:dyDescent="0.3">
      <c r="B104" s="207" t="s">
        <v>516</v>
      </c>
      <c r="C104" s="54">
        <v>160.12</v>
      </c>
      <c r="D104" s="10">
        <f t="shared" si="2"/>
        <v>-6.5919962664799825E-2</v>
      </c>
      <c r="F104" s="203">
        <v>22530.7</v>
      </c>
      <c r="G104" s="10">
        <f t="shared" si="3"/>
        <v>-3.2608205614820029E-2</v>
      </c>
    </row>
    <row r="105" spans="2:7" x14ac:dyDescent="0.3">
      <c r="B105" s="207" t="s">
        <v>517</v>
      </c>
      <c r="C105" s="54">
        <v>167.44</v>
      </c>
      <c r="D105" s="10">
        <f t="shared" si="2"/>
        <v>4.5715713215088716E-2</v>
      </c>
      <c r="F105" s="203">
        <v>22957.1</v>
      </c>
      <c r="G105" s="10">
        <f t="shared" si="3"/>
        <v>1.8925288606212787E-2</v>
      </c>
    </row>
    <row r="106" spans="2:7" x14ac:dyDescent="0.3">
      <c r="B106" s="207" t="s">
        <v>518</v>
      </c>
      <c r="C106" s="54">
        <v>160.84</v>
      </c>
      <c r="D106" s="10">
        <f t="shared" si="2"/>
        <v>-3.9417104634495881E-2</v>
      </c>
      <c r="F106" s="203">
        <v>22466.1</v>
      </c>
      <c r="G106" s="10">
        <f t="shared" si="3"/>
        <v>-2.1387718832082458E-2</v>
      </c>
    </row>
    <row r="107" spans="2:7" x14ac:dyDescent="0.3">
      <c r="B107" s="207" t="s">
        <v>519</v>
      </c>
      <c r="C107" s="54">
        <v>155.52000000000001</v>
      </c>
      <c r="D107" s="10">
        <f t="shared" si="2"/>
        <v>-3.3076349166873853E-2</v>
      </c>
      <c r="F107" s="203">
        <v>22055.200000000001</v>
      </c>
      <c r="G107" s="10">
        <f t="shared" si="3"/>
        <v>-1.8289778822314418E-2</v>
      </c>
    </row>
    <row r="108" spans="2:7" x14ac:dyDescent="0.3">
      <c r="B108" s="207" t="s">
        <v>520</v>
      </c>
      <c r="C108" s="54">
        <v>159.44999999999999</v>
      </c>
      <c r="D108" s="10">
        <f t="shared" si="2"/>
        <v>2.5270061728394966E-2</v>
      </c>
      <c r="F108" s="203">
        <v>22475.85</v>
      </c>
      <c r="G108" s="10">
        <f t="shared" si="3"/>
        <v>1.9072599659037293E-2</v>
      </c>
    </row>
    <row r="109" spans="2:7" x14ac:dyDescent="0.3">
      <c r="B109" s="207" t="s">
        <v>521</v>
      </c>
      <c r="C109" s="54">
        <v>158.87</v>
      </c>
      <c r="D109" s="10">
        <f t="shared" si="2"/>
        <v>-3.63750391972395E-3</v>
      </c>
      <c r="F109" s="203">
        <v>22419.95</v>
      </c>
      <c r="G109" s="10">
        <f t="shared" si="3"/>
        <v>-2.4871139467471659E-3</v>
      </c>
    </row>
    <row r="110" spans="2:7" x14ac:dyDescent="0.3">
      <c r="B110" s="207" t="s">
        <v>522</v>
      </c>
      <c r="C110" s="54">
        <v>155.28</v>
      </c>
      <c r="D110" s="10">
        <f t="shared" si="2"/>
        <v>-2.2597091961981564E-2</v>
      </c>
      <c r="F110" s="203">
        <v>22147</v>
      </c>
      <c r="G110" s="10">
        <f t="shared" si="3"/>
        <v>-1.2174425009868428E-2</v>
      </c>
    </row>
    <row r="111" spans="2:7" x14ac:dyDescent="0.3">
      <c r="B111" s="207" t="s">
        <v>523</v>
      </c>
      <c r="C111" s="54">
        <v>156.62</v>
      </c>
      <c r="D111" s="10">
        <f t="shared" si="2"/>
        <v>8.6295723853684336E-3</v>
      </c>
      <c r="F111" s="203">
        <v>22519.4</v>
      </c>
      <c r="G111" s="10">
        <f t="shared" si="3"/>
        <v>1.6814918499119536E-2</v>
      </c>
    </row>
    <row r="112" spans="2:7" x14ac:dyDescent="0.3">
      <c r="B112" s="207" t="s">
        <v>524</v>
      </c>
      <c r="C112" s="54">
        <v>156.47999999999999</v>
      </c>
      <c r="D112" s="10">
        <f t="shared" si="2"/>
        <v>-8.9388328438266829E-4</v>
      </c>
      <c r="F112" s="203">
        <v>22513.7</v>
      </c>
      <c r="G112" s="10">
        <f t="shared" si="3"/>
        <v>-2.5311509187642134E-4</v>
      </c>
    </row>
    <row r="113" spans="2:7" x14ac:dyDescent="0.3">
      <c r="B113" s="207" t="s">
        <v>525</v>
      </c>
      <c r="C113" s="54">
        <v>149.34</v>
      </c>
      <c r="D113" s="10">
        <f t="shared" si="2"/>
        <v>-4.5628834355828096E-2</v>
      </c>
      <c r="F113" s="203">
        <v>22326.9</v>
      </c>
      <c r="G113" s="10">
        <f t="shared" si="3"/>
        <v>-8.2971701674979803E-3</v>
      </c>
    </row>
    <row r="114" spans="2:7" x14ac:dyDescent="0.3">
      <c r="B114" s="207" t="s">
        <v>526</v>
      </c>
      <c r="C114" s="54">
        <v>145.56</v>
      </c>
      <c r="D114" s="10">
        <f t="shared" si="2"/>
        <v>-2.5311370028123781E-2</v>
      </c>
      <c r="F114" s="203">
        <v>22096.75</v>
      </c>
      <c r="G114" s="10">
        <f t="shared" si="3"/>
        <v>-1.0308193255669229E-2</v>
      </c>
    </row>
  </sheetData>
  <autoFilter ref="B8:D114" xr:uid="{4FF5B6F0-0DA6-4435-846B-C435D8FDBEA8}"/>
  <mergeCells count="4">
    <mergeCell ref="F6:G6"/>
    <mergeCell ref="B6:D6"/>
    <mergeCell ref="B2:M2"/>
    <mergeCell ref="I6:J6"/>
  </mergeCells>
  <pageMargins left="0.7" right="0.7" top="0.75" bottom="0.75" header="0.3" footer="0.3"/>
  <pageSetup scale="43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B2A3-7858-453B-92C4-49A82C4D506C}">
  <dimension ref="B2:G7"/>
  <sheetViews>
    <sheetView showGridLines="0" workbookViewId="0">
      <selection activeCell="K13" sqref="K13"/>
    </sheetView>
  </sheetViews>
  <sheetFormatPr defaultRowHeight="14.4" x14ac:dyDescent="0.3"/>
  <cols>
    <col min="3" max="3" width="12.33203125" customWidth="1"/>
    <col min="4" max="4" width="12.77734375" customWidth="1"/>
    <col min="5" max="5" width="11.88671875" customWidth="1"/>
    <col min="6" max="6" width="12" customWidth="1"/>
    <col min="7" max="7" width="14.88671875" customWidth="1"/>
  </cols>
  <sheetData>
    <row r="2" spans="2:7" x14ac:dyDescent="0.3">
      <c r="B2" t="s">
        <v>227</v>
      </c>
      <c r="C2" t="s">
        <v>228</v>
      </c>
      <c r="D2" s="29" t="s">
        <v>229</v>
      </c>
      <c r="E2" t="s">
        <v>230</v>
      </c>
      <c r="F2" s="29" t="s">
        <v>231</v>
      </c>
      <c r="G2" s="29" t="s">
        <v>232</v>
      </c>
    </row>
    <row r="3" spans="2:7" x14ac:dyDescent="0.3">
      <c r="B3">
        <v>1</v>
      </c>
      <c r="C3" t="s">
        <v>233</v>
      </c>
      <c r="D3">
        <v>1166.05</v>
      </c>
      <c r="E3">
        <v>285152.14</v>
      </c>
      <c r="F3">
        <v>101107</v>
      </c>
      <c r="G3">
        <v>1.22</v>
      </c>
    </row>
    <row r="4" spans="2:7" x14ac:dyDescent="0.3">
      <c r="B4">
        <v>2</v>
      </c>
      <c r="C4" t="s">
        <v>170</v>
      </c>
      <c r="D4">
        <v>195.4</v>
      </c>
      <c r="E4">
        <v>243928.11</v>
      </c>
      <c r="F4">
        <v>95643.13</v>
      </c>
      <c r="G4">
        <v>1.01</v>
      </c>
    </row>
    <row r="5" spans="2:7" x14ac:dyDescent="0.3">
      <c r="B5">
        <v>3</v>
      </c>
      <c r="C5" t="s">
        <v>234</v>
      </c>
      <c r="D5">
        <v>1158</v>
      </c>
      <c r="E5">
        <v>118126.13</v>
      </c>
      <c r="F5">
        <v>19155.98</v>
      </c>
      <c r="G5">
        <v>0.39</v>
      </c>
    </row>
    <row r="6" spans="2:7" x14ac:dyDescent="0.3">
      <c r="B6">
        <v>5</v>
      </c>
      <c r="C6" t="s">
        <v>235</v>
      </c>
      <c r="D6">
        <v>731.1</v>
      </c>
      <c r="E6">
        <v>60273.39</v>
      </c>
      <c r="F6">
        <v>6861.97</v>
      </c>
      <c r="G6">
        <v>0.38</v>
      </c>
    </row>
    <row r="7" spans="2:7" x14ac:dyDescent="0.3">
      <c r="B7">
        <v>7</v>
      </c>
      <c r="C7" t="s">
        <v>236</v>
      </c>
      <c r="D7">
        <v>36.97</v>
      </c>
      <c r="E7">
        <v>10834.49</v>
      </c>
      <c r="F7">
        <v>5309.93</v>
      </c>
      <c r="G7">
        <v>0.41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ABE64-E42C-49AF-9055-65465927411E}">
  <sheetPr>
    <pageSetUpPr fitToPage="1"/>
  </sheetPr>
  <dimension ref="B3:L83"/>
  <sheetViews>
    <sheetView showGridLines="0" zoomScale="80" zoomScaleNormal="80" workbookViewId="0">
      <pane ySplit="5" topLeftCell="A41" activePane="bottomLeft" state="frozen"/>
      <selection pane="bottomLeft" activeCell="N17" sqref="N17"/>
    </sheetView>
  </sheetViews>
  <sheetFormatPr defaultRowHeight="14.4" x14ac:dyDescent="0.3"/>
  <cols>
    <col min="1" max="1" width="1.88671875" customWidth="1"/>
    <col min="2" max="2" width="26.44140625" customWidth="1"/>
    <col min="3" max="12" width="9.6640625" bestFit="1" customWidth="1"/>
  </cols>
  <sheetData>
    <row r="3" spans="2:12" x14ac:dyDescent="0.3">
      <c r="B3" s="16" t="s">
        <v>288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5" spans="2:12" x14ac:dyDescent="0.3">
      <c r="B5" s="102" t="s">
        <v>254</v>
      </c>
      <c r="C5" s="113">
        <v>42430</v>
      </c>
      <c r="D5" s="113">
        <v>42795</v>
      </c>
      <c r="E5" s="113">
        <v>43160</v>
      </c>
      <c r="F5" s="113">
        <v>43525</v>
      </c>
      <c r="G5" s="113">
        <v>43891</v>
      </c>
      <c r="H5" s="113">
        <v>44256</v>
      </c>
      <c r="I5" s="113">
        <v>44621</v>
      </c>
      <c r="J5" s="113">
        <v>44986</v>
      </c>
      <c r="K5" s="113">
        <v>45352</v>
      </c>
      <c r="L5" s="113">
        <v>45717</v>
      </c>
    </row>
    <row r="7" spans="2:12" x14ac:dyDescent="0.3">
      <c r="B7" s="2" t="s">
        <v>257</v>
      </c>
      <c r="C7" s="120">
        <v>970</v>
      </c>
      <c r="D7" s="120">
        <v>970</v>
      </c>
      <c r="E7" s="120">
        <v>1145</v>
      </c>
      <c r="F7" s="120">
        <v>1145</v>
      </c>
      <c r="G7" s="120">
        <v>1145</v>
      </c>
      <c r="H7" s="120">
        <v>1198</v>
      </c>
      <c r="I7" s="120">
        <v>1221</v>
      </c>
      <c r="J7" s="120">
        <v>1221</v>
      </c>
      <c r="K7" s="120">
        <v>1247</v>
      </c>
      <c r="L7" s="120">
        <v>1247</v>
      </c>
    </row>
    <row r="8" spans="2:12" x14ac:dyDescent="0.3">
      <c r="B8" s="2" t="s">
        <v>12</v>
      </c>
      <c r="C8" s="120">
        <v>42762</v>
      </c>
      <c r="D8" s="120">
        <v>36849</v>
      </c>
      <c r="E8" s="120">
        <v>59726</v>
      </c>
      <c r="F8" s="120">
        <v>67780</v>
      </c>
      <c r="G8" s="120">
        <v>72431</v>
      </c>
      <c r="H8" s="120">
        <v>73041</v>
      </c>
      <c r="I8" s="120">
        <v>113222</v>
      </c>
      <c r="J8" s="120">
        <v>101861</v>
      </c>
      <c r="K8" s="120">
        <v>90788</v>
      </c>
      <c r="L8" s="120">
        <v>89922</v>
      </c>
    </row>
    <row r="9" spans="2:12" x14ac:dyDescent="0.3">
      <c r="B9" s="2" t="s">
        <v>258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</row>
    <row r="10" spans="2:12" x14ac:dyDescent="0.3">
      <c r="B10" t="s">
        <v>259</v>
      </c>
      <c r="C10" s="120">
        <v>64873</v>
      </c>
      <c r="D10" s="120">
        <v>64022</v>
      </c>
      <c r="E10" s="120">
        <v>72789</v>
      </c>
      <c r="F10" s="120">
        <v>80343</v>
      </c>
      <c r="G10" s="120">
        <v>94105</v>
      </c>
      <c r="H10" s="120">
        <v>65698</v>
      </c>
      <c r="I10" s="120">
        <v>44764</v>
      </c>
      <c r="J10" s="120">
        <v>51446</v>
      </c>
      <c r="K10" s="120">
        <v>51577</v>
      </c>
      <c r="L10" s="120">
        <v>68552</v>
      </c>
    </row>
    <row r="11" spans="2:12" x14ac:dyDescent="0.3">
      <c r="B11" t="s">
        <v>260</v>
      </c>
      <c r="C11" s="120">
        <v>15722</v>
      </c>
      <c r="D11" s="120">
        <v>18328</v>
      </c>
      <c r="E11" s="120">
        <v>15885</v>
      </c>
      <c r="F11" s="120">
        <v>10802</v>
      </c>
      <c r="G11" s="120">
        <v>19184</v>
      </c>
      <c r="H11" s="120">
        <v>14969</v>
      </c>
      <c r="I11" s="120">
        <v>24065</v>
      </c>
      <c r="J11" s="120">
        <v>26571</v>
      </c>
      <c r="K11" s="120">
        <v>29997</v>
      </c>
      <c r="L11" s="120">
        <v>20412</v>
      </c>
    </row>
    <row r="12" spans="2:12" x14ac:dyDescent="0.3">
      <c r="B12" t="s">
        <v>261</v>
      </c>
      <c r="C12" s="120">
        <v>0</v>
      </c>
      <c r="D12" s="120">
        <v>0</v>
      </c>
      <c r="E12" s="120">
        <v>0</v>
      </c>
      <c r="F12" s="120">
        <v>0</v>
      </c>
      <c r="G12" s="120">
        <v>0</v>
      </c>
      <c r="H12" s="120">
        <v>7834</v>
      </c>
      <c r="I12" s="120">
        <v>6733</v>
      </c>
      <c r="J12" s="120">
        <v>6875</v>
      </c>
      <c r="K12" s="120">
        <v>5508</v>
      </c>
      <c r="L12" s="120">
        <v>5837</v>
      </c>
    </row>
    <row r="13" spans="2:12" x14ac:dyDescent="0.3">
      <c r="B13" t="s">
        <v>262</v>
      </c>
      <c r="C13" s="120">
        <v>0</v>
      </c>
      <c r="D13" s="120">
        <v>0</v>
      </c>
      <c r="E13" s="120">
        <v>20</v>
      </c>
      <c r="F13" s="120">
        <v>13</v>
      </c>
      <c r="G13" s="120">
        <v>0</v>
      </c>
      <c r="H13" s="120">
        <v>0</v>
      </c>
      <c r="I13" s="120">
        <v>0</v>
      </c>
      <c r="J13" s="120">
        <v>0</v>
      </c>
      <c r="K13" s="120">
        <v>0</v>
      </c>
      <c r="L13" s="120">
        <v>0</v>
      </c>
    </row>
    <row r="14" spans="2:12" x14ac:dyDescent="0.3">
      <c r="B14" t="s">
        <v>263</v>
      </c>
      <c r="C14" s="120">
        <v>1392</v>
      </c>
      <c r="D14" s="120">
        <v>664</v>
      </c>
      <c r="E14" s="120">
        <v>3453</v>
      </c>
      <c r="F14" s="120">
        <v>9658</v>
      </c>
      <c r="G14" s="120">
        <v>3039</v>
      </c>
      <c r="H14" s="120">
        <v>0</v>
      </c>
      <c r="I14" s="120">
        <v>0</v>
      </c>
      <c r="J14" s="120">
        <v>0</v>
      </c>
      <c r="K14" s="120">
        <v>0</v>
      </c>
      <c r="L14" s="120">
        <v>0</v>
      </c>
    </row>
    <row r="15" spans="2:12" x14ac:dyDescent="0.3">
      <c r="B15" t="s">
        <v>264</v>
      </c>
      <c r="C15" s="120"/>
      <c r="D15" s="120"/>
      <c r="E15" s="120"/>
      <c r="F15" s="120"/>
      <c r="G15" s="120"/>
      <c r="H15" s="120"/>
      <c r="I15" s="120"/>
      <c r="J15" s="120"/>
      <c r="K15" s="120"/>
      <c r="L15" s="120"/>
    </row>
    <row r="16" spans="2:12" x14ac:dyDescent="0.3">
      <c r="B16" t="s">
        <v>265</v>
      </c>
      <c r="C16" s="120">
        <v>781</v>
      </c>
      <c r="D16" s="120">
        <v>1602</v>
      </c>
      <c r="E16" s="120">
        <v>937</v>
      </c>
      <c r="F16" s="120">
        <v>2364</v>
      </c>
      <c r="G16" s="120">
        <v>2587</v>
      </c>
      <c r="H16" s="120">
        <v>3270</v>
      </c>
      <c r="I16" s="120">
        <v>2655</v>
      </c>
      <c r="J16" s="120">
        <v>2093</v>
      </c>
      <c r="K16" s="120">
        <v>397</v>
      </c>
      <c r="L16" s="120">
        <v>183</v>
      </c>
    </row>
    <row r="17" spans="2:12" x14ac:dyDescent="0.3">
      <c r="B17" t="s">
        <v>266</v>
      </c>
      <c r="C17" s="120">
        <v>18557</v>
      </c>
      <c r="D17" s="120">
        <v>18574</v>
      </c>
      <c r="E17" s="120">
        <v>20414</v>
      </c>
      <c r="F17" s="120">
        <v>21717</v>
      </c>
      <c r="G17" s="120">
        <v>21381</v>
      </c>
      <c r="H17" s="120">
        <v>25967</v>
      </c>
      <c r="I17" s="120">
        <v>36765</v>
      </c>
      <c r="J17" s="120">
        <v>37833</v>
      </c>
      <c r="K17" s="120">
        <v>30228</v>
      </c>
      <c r="L17" s="120">
        <v>29314</v>
      </c>
    </row>
    <row r="18" spans="2:12" x14ac:dyDescent="0.3">
      <c r="B18" t="s">
        <v>267</v>
      </c>
      <c r="C18" s="120">
        <v>456</v>
      </c>
      <c r="D18" s="120">
        <v>566</v>
      </c>
      <c r="E18" s="120">
        <v>616</v>
      </c>
      <c r="F18" s="120">
        <v>819</v>
      </c>
      <c r="G18" s="120">
        <v>869</v>
      </c>
      <c r="H18" s="120">
        <v>2399</v>
      </c>
      <c r="I18" s="120">
        <v>3253</v>
      </c>
      <c r="J18" s="120">
        <v>3394</v>
      </c>
      <c r="K18" s="120">
        <v>2771</v>
      </c>
      <c r="L18" s="120">
        <v>1655</v>
      </c>
    </row>
    <row r="19" spans="2:12" x14ac:dyDescent="0.3">
      <c r="B19" t="s">
        <v>268</v>
      </c>
      <c r="C19" s="119">
        <v>31371</v>
      </c>
      <c r="D19" s="119">
        <v>30871</v>
      </c>
      <c r="E19" s="119">
        <v>33738</v>
      </c>
      <c r="F19" s="119">
        <v>38131</v>
      </c>
      <c r="G19" s="119">
        <v>34408</v>
      </c>
      <c r="H19" s="119">
        <v>49533</v>
      </c>
      <c r="I19" s="119">
        <v>49744</v>
      </c>
      <c r="J19" s="119">
        <v>54101</v>
      </c>
      <c r="K19" s="119">
        <v>56799</v>
      </c>
      <c r="L19" s="119">
        <v>58335</v>
      </c>
    </row>
    <row r="20" spans="2:12" x14ac:dyDescent="0.3">
      <c r="B20" s="115" t="s">
        <v>74</v>
      </c>
      <c r="C20" s="116">
        <v>176884</v>
      </c>
      <c r="D20" s="116">
        <v>172447</v>
      </c>
      <c r="E20" s="116">
        <v>208722</v>
      </c>
      <c r="F20" s="116">
        <v>232773</v>
      </c>
      <c r="G20" s="116">
        <v>249149</v>
      </c>
      <c r="H20" s="116">
        <v>243909</v>
      </c>
      <c r="I20" s="116">
        <v>282422</v>
      </c>
      <c r="J20" s="116">
        <v>285396</v>
      </c>
      <c r="K20" s="116">
        <v>269312</v>
      </c>
      <c r="L20" s="116">
        <v>275459</v>
      </c>
    </row>
    <row r="21" spans="2:12" x14ac:dyDescent="0.3">
      <c r="B21" s="2"/>
      <c r="C21" s="114"/>
      <c r="D21" s="114"/>
      <c r="E21" s="114"/>
      <c r="F21" s="114"/>
      <c r="G21" s="114"/>
      <c r="H21" s="114"/>
      <c r="I21" s="114"/>
      <c r="J21" s="114"/>
      <c r="K21" s="114"/>
      <c r="L21" s="114"/>
    </row>
    <row r="22" spans="2:12" x14ac:dyDescent="0.3">
      <c r="B22" s="2" t="s">
        <v>269</v>
      </c>
      <c r="C22" s="120">
        <v>72200</v>
      </c>
      <c r="D22" s="120">
        <v>92007</v>
      </c>
      <c r="E22" s="120">
        <v>96105</v>
      </c>
      <c r="F22" s="120">
        <v>124442</v>
      </c>
      <c r="G22" s="120">
        <v>134551</v>
      </c>
      <c r="H22" s="120">
        <v>135775</v>
      </c>
      <c r="I22" s="120">
        <v>133288</v>
      </c>
      <c r="J22" s="120">
        <v>146621</v>
      </c>
      <c r="K22" s="120">
        <v>148814</v>
      </c>
      <c r="L22" s="120">
        <v>150914</v>
      </c>
    </row>
    <row r="23" spans="2:12" x14ac:dyDescent="0.3">
      <c r="B23" t="s">
        <v>270</v>
      </c>
      <c r="C23" s="120">
        <v>16499</v>
      </c>
      <c r="D23" s="120">
        <v>16545</v>
      </c>
      <c r="E23" s="120">
        <v>16955</v>
      </c>
      <c r="F23" s="120">
        <v>17126</v>
      </c>
      <c r="G23" s="120">
        <v>19853</v>
      </c>
      <c r="H23" s="120">
        <v>20656</v>
      </c>
      <c r="I23" s="120">
        <v>20770</v>
      </c>
      <c r="J23" s="120">
        <v>21701</v>
      </c>
      <c r="K23" s="120">
        <v>22067</v>
      </c>
      <c r="L23" s="120">
        <v>22299</v>
      </c>
    </row>
    <row r="24" spans="2:12" x14ac:dyDescent="0.3">
      <c r="B24" t="s">
        <v>271</v>
      </c>
      <c r="C24" s="120">
        <v>11058</v>
      </c>
      <c r="D24" s="120">
        <v>11141</v>
      </c>
      <c r="E24" s="120">
        <v>12148</v>
      </c>
      <c r="F24" s="120">
        <v>21753</v>
      </c>
      <c r="G24" s="120">
        <v>25883</v>
      </c>
      <c r="H24" s="120">
        <v>26828</v>
      </c>
      <c r="I24" s="120">
        <v>27588</v>
      </c>
      <c r="J24" s="120">
        <v>28904</v>
      </c>
      <c r="K24" s="120">
        <v>30173</v>
      </c>
      <c r="L24" s="120">
        <v>31819</v>
      </c>
    </row>
    <row r="25" spans="2:12" x14ac:dyDescent="0.3">
      <c r="B25" t="s">
        <v>272</v>
      </c>
      <c r="C25" s="120">
        <v>73865</v>
      </c>
      <c r="D25" s="120">
        <v>93462</v>
      </c>
      <c r="E25" s="120">
        <v>104889</v>
      </c>
      <c r="F25" s="120">
        <v>127435</v>
      </c>
      <c r="G25" s="120">
        <v>141914</v>
      </c>
      <c r="H25" s="120">
        <v>155596</v>
      </c>
      <c r="I25" s="120">
        <v>152754</v>
      </c>
      <c r="J25" s="120">
        <v>163134</v>
      </c>
      <c r="K25" s="120">
        <v>175111</v>
      </c>
      <c r="L25" s="120">
        <v>186115</v>
      </c>
    </row>
    <row r="26" spans="2:12" x14ac:dyDescent="0.3">
      <c r="B26" t="s">
        <v>273</v>
      </c>
      <c r="C26" s="120">
        <v>414</v>
      </c>
      <c r="D26" s="120">
        <v>543</v>
      </c>
      <c r="E26" s="120">
        <v>668</v>
      </c>
      <c r="F26" s="120">
        <v>739</v>
      </c>
      <c r="G26" s="120">
        <v>796</v>
      </c>
      <c r="H26" s="120">
        <v>0</v>
      </c>
      <c r="I26" s="120">
        <v>0</v>
      </c>
      <c r="J26" s="120">
        <v>0</v>
      </c>
      <c r="K26" s="120">
        <v>0</v>
      </c>
      <c r="L26" s="120">
        <v>0</v>
      </c>
    </row>
    <row r="27" spans="2:12" x14ac:dyDescent="0.3">
      <c r="B27" t="s">
        <v>274</v>
      </c>
      <c r="C27" s="120">
        <v>0</v>
      </c>
      <c r="D27" s="120">
        <v>0</v>
      </c>
      <c r="E27" s="120">
        <v>0</v>
      </c>
      <c r="F27" s="120">
        <v>0</v>
      </c>
      <c r="G27" s="120">
        <v>19</v>
      </c>
      <c r="H27" s="120">
        <v>1047</v>
      </c>
      <c r="I27" s="120">
        <v>991</v>
      </c>
      <c r="J27" s="120">
        <v>1111</v>
      </c>
      <c r="K27" s="120">
        <v>1238</v>
      </c>
      <c r="L27" s="120">
        <v>1298</v>
      </c>
    </row>
    <row r="28" spans="2:12" x14ac:dyDescent="0.3">
      <c r="B28" t="s">
        <v>275</v>
      </c>
      <c r="C28" s="120">
        <v>757</v>
      </c>
      <c r="D28" s="120">
        <v>1350</v>
      </c>
      <c r="E28" s="120">
        <v>1397</v>
      </c>
      <c r="F28" s="120">
        <v>1549</v>
      </c>
      <c r="G28" s="120">
        <v>1676</v>
      </c>
      <c r="H28" s="120">
        <v>1671</v>
      </c>
      <c r="I28" s="120">
        <v>1780</v>
      </c>
      <c r="J28" s="120">
        <v>1841</v>
      </c>
      <c r="K28" s="120">
        <v>1872</v>
      </c>
      <c r="L28" s="120">
        <v>1890</v>
      </c>
    </row>
    <row r="29" spans="2:12" x14ac:dyDescent="0.3">
      <c r="B29" t="s">
        <v>276</v>
      </c>
      <c r="C29" s="120">
        <v>335</v>
      </c>
      <c r="D29" s="120">
        <v>352</v>
      </c>
      <c r="E29" s="120">
        <v>343</v>
      </c>
      <c r="F29" s="120">
        <v>398</v>
      </c>
      <c r="G29" s="120">
        <v>615</v>
      </c>
      <c r="H29" s="120">
        <v>681</v>
      </c>
      <c r="I29" s="120">
        <v>686</v>
      </c>
      <c r="J29" s="120">
        <v>749</v>
      </c>
      <c r="K29" s="120">
        <v>794</v>
      </c>
      <c r="L29" s="120">
        <v>830</v>
      </c>
    </row>
    <row r="30" spans="2:12" x14ac:dyDescent="0.3">
      <c r="B30" t="s">
        <v>277</v>
      </c>
      <c r="C30" s="120">
        <v>6026</v>
      </c>
      <c r="D30" s="120">
        <v>4990</v>
      </c>
      <c r="E30" s="120">
        <v>5810</v>
      </c>
      <c r="F30" s="120">
        <v>4293</v>
      </c>
      <c r="G30" s="120">
        <v>5868</v>
      </c>
      <c r="H30" s="120">
        <v>6289</v>
      </c>
      <c r="I30" s="120">
        <v>6229</v>
      </c>
      <c r="J30" s="120">
        <v>7572</v>
      </c>
      <c r="K30" s="120">
        <v>7772</v>
      </c>
      <c r="L30" s="120">
        <v>7896</v>
      </c>
    </row>
    <row r="31" spans="2:12" x14ac:dyDescent="0.3">
      <c r="B31" t="s">
        <v>278</v>
      </c>
      <c r="C31" s="120">
        <v>5154</v>
      </c>
      <c r="D31" s="120">
        <v>2919</v>
      </c>
      <c r="E31" s="120">
        <v>3233</v>
      </c>
      <c r="F31" s="120">
        <v>3742</v>
      </c>
      <c r="G31" s="120">
        <v>4424</v>
      </c>
      <c r="H31" s="120">
        <v>5171</v>
      </c>
      <c r="I31" s="120">
        <v>10953</v>
      </c>
      <c r="J31" s="120">
        <v>20384</v>
      </c>
      <c r="K31" s="120">
        <v>20546</v>
      </c>
      <c r="L31" s="120">
        <v>20881</v>
      </c>
    </row>
    <row r="32" spans="2:12" x14ac:dyDescent="0.3">
      <c r="B32" s="2" t="s">
        <v>279</v>
      </c>
      <c r="C32" s="121">
        <v>114109</v>
      </c>
      <c r="D32" s="121">
        <v>131302</v>
      </c>
      <c r="E32" s="121">
        <v>145444</v>
      </c>
      <c r="F32" s="121">
        <v>177037</v>
      </c>
      <c r="G32" s="121">
        <v>201047</v>
      </c>
      <c r="H32" s="121">
        <v>217939</v>
      </c>
      <c r="I32" s="121">
        <v>221752</v>
      </c>
      <c r="J32" s="121">
        <v>245395</v>
      </c>
      <c r="K32" s="121">
        <v>259572</v>
      </c>
      <c r="L32" s="121">
        <v>273028</v>
      </c>
    </row>
    <row r="33" spans="2:12" x14ac:dyDescent="0.3">
      <c r="B33" s="2" t="s">
        <v>280</v>
      </c>
      <c r="C33" s="122">
        <v>41909</v>
      </c>
      <c r="D33" s="122">
        <v>39295</v>
      </c>
      <c r="E33" s="122">
        <v>49339</v>
      </c>
      <c r="F33" s="122">
        <v>52595</v>
      </c>
      <c r="G33" s="122">
        <v>66496</v>
      </c>
      <c r="H33" s="122">
        <v>82164</v>
      </c>
      <c r="I33" s="122">
        <v>88464</v>
      </c>
      <c r="J33" s="122">
        <v>98773</v>
      </c>
      <c r="K33" s="122">
        <v>110758</v>
      </c>
      <c r="L33" s="122">
        <v>122114</v>
      </c>
    </row>
    <row r="34" spans="2:12" x14ac:dyDescent="0.3">
      <c r="B34" s="123" t="s">
        <v>14</v>
      </c>
      <c r="C34" s="124">
        <f>C32-C33</f>
        <v>72200</v>
      </c>
      <c r="D34" s="124">
        <f t="shared" ref="D34:L34" si="0">D32-D33</f>
        <v>92007</v>
      </c>
      <c r="E34" s="124">
        <f t="shared" si="0"/>
        <v>96105</v>
      </c>
      <c r="F34" s="124">
        <f t="shared" si="0"/>
        <v>124442</v>
      </c>
      <c r="G34" s="124">
        <f t="shared" si="0"/>
        <v>134551</v>
      </c>
      <c r="H34" s="124">
        <f t="shared" si="0"/>
        <v>135775</v>
      </c>
      <c r="I34" s="124">
        <f t="shared" si="0"/>
        <v>133288</v>
      </c>
      <c r="J34" s="124">
        <f t="shared" si="0"/>
        <v>146622</v>
      </c>
      <c r="K34" s="124">
        <f t="shared" si="0"/>
        <v>148814</v>
      </c>
      <c r="L34" s="124">
        <f t="shared" si="0"/>
        <v>150914</v>
      </c>
    </row>
    <row r="35" spans="2:12" x14ac:dyDescent="0.3">
      <c r="B35" s="2"/>
      <c r="C35" s="125"/>
      <c r="D35" s="125"/>
      <c r="E35" s="125"/>
      <c r="F35" s="125"/>
      <c r="G35" s="125"/>
      <c r="H35" s="125"/>
      <c r="I35" s="125"/>
      <c r="J35" s="125"/>
      <c r="K35" s="125"/>
      <c r="L35" s="125"/>
    </row>
    <row r="36" spans="2:12" x14ac:dyDescent="0.3">
      <c r="B36" s="2" t="s">
        <v>281</v>
      </c>
      <c r="C36" s="120">
        <v>35996</v>
      </c>
      <c r="D36" s="120">
        <v>15784</v>
      </c>
      <c r="E36" s="120">
        <v>16614</v>
      </c>
      <c r="F36" s="120">
        <v>18641</v>
      </c>
      <c r="G36" s="120">
        <v>19497</v>
      </c>
      <c r="H36" s="120">
        <v>19007</v>
      </c>
      <c r="I36" s="120">
        <v>22046</v>
      </c>
      <c r="J36" s="120">
        <v>31213</v>
      </c>
      <c r="K36" s="120">
        <v>34356</v>
      </c>
      <c r="L36" s="120">
        <v>41622</v>
      </c>
    </row>
    <row r="37" spans="2:12" x14ac:dyDescent="0.3">
      <c r="B37" s="2" t="s">
        <v>16</v>
      </c>
      <c r="C37" s="120">
        <v>10714</v>
      </c>
      <c r="D37" s="120">
        <v>12457</v>
      </c>
      <c r="E37" s="120">
        <v>17899</v>
      </c>
      <c r="F37" s="120">
        <v>5738</v>
      </c>
      <c r="G37" s="120">
        <v>6285</v>
      </c>
      <c r="H37" s="120">
        <v>10682</v>
      </c>
      <c r="I37" s="120">
        <v>13140</v>
      </c>
      <c r="J37" s="120">
        <v>8410</v>
      </c>
      <c r="K37" s="120">
        <v>6258</v>
      </c>
      <c r="L37" s="120">
        <v>6194</v>
      </c>
    </row>
    <row r="38" spans="2:12" x14ac:dyDescent="0.3">
      <c r="B38" s="2"/>
      <c r="C38" s="119"/>
      <c r="D38" s="119"/>
      <c r="E38" s="119"/>
      <c r="F38" s="119"/>
      <c r="G38" s="119"/>
      <c r="H38" s="119"/>
      <c r="I38" s="119"/>
      <c r="J38" s="119"/>
      <c r="K38" s="119"/>
      <c r="L38" s="119"/>
    </row>
    <row r="39" spans="2:12" x14ac:dyDescent="0.3">
      <c r="B39" s="2"/>
    </row>
    <row r="40" spans="2:12" x14ac:dyDescent="0.3">
      <c r="B40" s="2" t="s">
        <v>286</v>
      </c>
    </row>
    <row r="41" spans="2:12" x14ac:dyDescent="0.3">
      <c r="B41" t="s">
        <v>282</v>
      </c>
      <c r="C41" s="120">
        <v>20013</v>
      </c>
      <c r="D41" s="120">
        <v>24804</v>
      </c>
      <c r="E41" s="120">
        <v>28331</v>
      </c>
      <c r="F41" s="120">
        <v>31656</v>
      </c>
      <c r="G41" s="120">
        <v>31069</v>
      </c>
      <c r="H41" s="120">
        <v>33276</v>
      </c>
      <c r="I41" s="120">
        <v>48824</v>
      </c>
      <c r="J41" s="120">
        <v>54415</v>
      </c>
      <c r="K41" s="120">
        <v>49158</v>
      </c>
      <c r="L41" s="120">
        <v>44590</v>
      </c>
    </row>
    <row r="42" spans="2:12" x14ac:dyDescent="0.3">
      <c r="B42" t="s">
        <v>290</v>
      </c>
      <c r="C42" s="120">
        <v>12066</v>
      </c>
      <c r="D42" s="120">
        <v>11587</v>
      </c>
      <c r="E42" s="120">
        <v>12416</v>
      </c>
      <c r="F42" s="120">
        <v>11811</v>
      </c>
      <c r="G42" s="120">
        <v>7885</v>
      </c>
      <c r="H42" s="120">
        <v>9540</v>
      </c>
      <c r="I42" s="120">
        <v>12246</v>
      </c>
      <c r="J42" s="120">
        <v>8257</v>
      </c>
      <c r="K42" s="120">
        <v>6264</v>
      </c>
      <c r="L42" s="120">
        <v>5260</v>
      </c>
    </row>
    <row r="43" spans="2:12" x14ac:dyDescent="0.3">
      <c r="B43" t="s">
        <v>283</v>
      </c>
      <c r="C43" s="120">
        <v>6186</v>
      </c>
      <c r="D43" s="120">
        <v>4921</v>
      </c>
      <c r="E43" s="120">
        <v>7938</v>
      </c>
      <c r="F43" s="120">
        <v>3341</v>
      </c>
      <c r="G43" s="120">
        <v>8055</v>
      </c>
      <c r="H43" s="120">
        <v>5782</v>
      </c>
      <c r="I43" s="120">
        <v>15899</v>
      </c>
      <c r="J43" s="120">
        <v>13357</v>
      </c>
      <c r="K43" s="120">
        <v>8678</v>
      </c>
      <c r="L43" s="120">
        <v>11647</v>
      </c>
    </row>
    <row r="44" spans="2:12" x14ac:dyDescent="0.3">
      <c r="B44" t="s">
        <v>284</v>
      </c>
      <c r="C44" s="120">
        <v>107</v>
      </c>
      <c r="D44" s="120">
        <v>98</v>
      </c>
      <c r="E44" s="120">
        <v>219</v>
      </c>
      <c r="F44" s="120">
        <v>-56</v>
      </c>
      <c r="G44" s="120">
        <v>195</v>
      </c>
      <c r="H44" s="120">
        <v>-193</v>
      </c>
      <c r="I44" s="120">
        <v>-158</v>
      </c>
      <c r="J44" s="120">
        <v>-90</v>
      </c>
      <c r="K44" s="120">
        <v>-56</v>
      </c>
      <c r="L44" s="120">
        <v>-146</v>
      </c>
    </row>
    <row r="45" spans="2:12" x14ac:dyDescent="0.3">
      <c r="B45" t="s">
        <v>285</v>
      </c>
      <c r="C45" s="119">
        <v>19602</v>
      </c>
      <c r="D45" s="119">
        <v>10790</v>
      </c>
      <c r="E45" s="119">
        <v>29200</v>
      </c>
      <c r="F45" s="119">
        <v>37200</v>
      </c>
      <c r="G45" s="119">
        <v>41613</v>
      </c>
      <c r="H45" s="119">
        <v>30039</v>
      </c>
      <c r="I45" s="119">
        <v>37137</v>
      </c>
      <c r="J45" s="119">
        <v>23211</v>
      </c>
      <c r="K45" s="119">
        <v>15842</v>
      </c>
      <c r="L45" s="119">
        <v>15377</v>
      </c>
    </row>
    <row r="46" spans="2:12" x14ac:dyDescent="0.3">
      <c r="B46" s="117" t="s">
        <v>76</v>
      </c>
      <c r="C46" s="118">
        <v>176884</v>
      </c>
      <c r="D46" s="118">
        <v>172447</v>
      </c>
      <c r="E46" s="118">
        <v>208722</v>
      </c>
      <c r="F46" s="118">
        <v>232773</v>
      </c>
      <c r="G46" s="118">
        <v>249149</v>
      </c>
      <c r="H46" s="118">
        <v>243909</v>
      </c>
      <c r="I46" s="118">
        <v>282422</v>
      </c>
      <c r="J46" s="118">
        <v>285396</v>
      </c>
      <c r="K46" s="118">
        <v>269312</v>
      </c>
      <c r="L46" s="118">
        <v>275459</v>
      </c>
    </row>
    <row r="50" spans="2:12" x14ac:dyDescent="0.3">
      <c r="B50" s="102" t="s">
        <v>254</v>
      </c>
      <c r="C50" s="113">
        <v>42430</v>
      </c>
      <c r="D50" s="113">
        <v>42795</v>
      </c>
      <c r="E50" s="113">
        <v>43160</v>
      </c>
      <c r="F50" s="113">
        <v>43525</v>
      </c>
      <c r="G50" s="113">
        <v>43891</v>
      </c>
      <c r="H50" s="113">
        <v>44256</v>
      </c>
      <c r="I50" s="113">
        <v>44621</v>
      </c>
      <c r="J50" s="113">
        <v>44986</v>
      </c>
      <c r="K50" s="113">
        <v>45352</v>
      </c>
      <c r="L50" s="113">
        <v>45717</v>
      </c>
    </row>
    <row r="52" spans="2:12" x14ac:dyDescent="0.3">
      <c r="B52" s="2" t="s">
        <v>112</v>
      </c>
      <c r="C52" s="121">
        <v>11455</v>
      </c>
      <c r="D52" s="121">
        <v>10824</v>
      </c>
      <c r="E52" s="121">
        <v>8023</v>
      </c>
      <c r="F52" s="121">
        <v>25336</v>
      </c>
      <c r="G52" s="121">
        <v>20169</v>
      </c>
      <c r="H52" s="121">
        <v>44327</v>
      </c>
      <c r="I52" s="121">
        <v>44381</v>
      </c>
      <c r="J52" s="121">
        <v>21683</v>
      </c>
      <c r="K52" s="121">
        <v>20301</v>
      </c>
      <c r="L52" s="121">
        <v>23512</v>
      </c>
    </row>
    <row r="53" spans="2:12" x14ac:dyDescent="0.3">
      <c r="B53" t="s">
        <v>90</v>
      </c>
      <c r="C53" s="120">
        <v>6824</v>
      </c>
      <c r="D53" s="120">
        <v>17581</v>
      </c>
      <c r="E53" s="120">
        <v>20187</v>
      </c>
      <c r="F53" s="120">
        <v>27840</v>
      </c>
      <c r="G53" s="120">
        <v>18078</v>
      </c>
      <c r="H53" s="120">
        <v>28540</v>
      </c>
      <c r="I53" s="120">
        <v>65900</v>
      </c>
      <c r="J53" s="120">
        <v>30908</v>
      </c>
      <c r="K53" s="120">
        <v>22237</v>
      </c>
      <c r="L53" s="120">
        <v>23929</v>
      </c>
    </row>
    <row r="54" spans="2:12" x14ac:dyDescent="0.3">
      <c r="B54" t="s">
        <v>43</v>
      </c>
      <c r="C54" s="120">
        <v>0</v>
      </c>
      <c r="D54" s="120">
        <v>0</v>
      </c>
      <c r="E54" s="120">
        <v>0</v>
      </c>
      <c r="F54" s="120">
        <v>0</v>
      </c>
      <c r="G54" s="120">
        <v>0</v>
      </c>
      <c r="H54" s="120">
        <v>0</v>
      </c>
      <c r="I54" s="120">
        <v>0</v>
      </c>
      <c r="J54" s="120">
        <v>0</v>
      </c>
      <c r="K54" s="120">
        <v>0</v>
      </c>
      <c r="L54" s="120">
        <v>0</v>
      </c>
    </row>
    <row r="55" spans="2:12" x14ac:dyDescent="0.3">
      <c r="B55" t="s">
        <v>30</v>
      </c>
      <c r="C55" s="120">
        <v>5618</v>
      </c>
      <c r="D55" s="120">
        <v>-8243</v>
      </c>
      <c r="E55" s="120">
        <v>-1595</v>
      </c>
      <c r="F55" s="120">
        <v>-1069</v>
      </c>
      <c r="G55" s="120">
        <v>1562</v>
      </c>
      <c r="H55" s="120">
        <v>46</v>
      </c>
      <c r="I55" s="120">
        <v>-16917</v>
      </c>
      <c r="J55" s="120">
        <v>-4031</v>
      </c>
      <c r="K55" s="120">
        <v>5566</v>
      </c>
      <c r="L55" s="120">
        <v>4776</v>
      </c>
    </row>
    <row r="56" spans="2:12" x14ac:dyDescent="0.3">
      <c r="B56" t="s">
        <v>91</v>
      </c>
      <c r="C56" s="120">
        <v>0</v>
      </c>
      <c r="D56" s="120">
        <v>0</v>
      </c>
      <c r="E56" s="120">
        <v>0</v>
      </c>
      <c r="F56" s="120">
        <v>0</v>
      </c>
      <c r="G56" s="120">
        <v>0</v>
      </c>
      <c r="H56" s="120">
        <v>0</v>
      </c>
      <c r="I56" s="120">
        <v>0</v>
      </c>
      <c r="J56" s="120">
        <v>0</v>
      </c>
      <c r="K56" s="120">
        <v>0</v>
      </c>
      <c r="L56" s="120">
        <v>0</v>
      </c>
    </row>
    <row r="57" spans="2:12" x14ac:dyDescent="0.3">
      <c r="B57" t="s">
        <v>92</v>
      </c>
      <c r="C57" s="120">
        <v>548</v>
      </c>
      <c r="D57" s="120">
        <v>3329</v>
      </c>
      <c r="E57" s="120">
        <v>-7680</v>
      </c>
      <c r="F57" s="120">
        <v>3659</v>
      </c>
      <c r="G57" s="120">
        <v>2634</v>
      </c>
      <c r="H57" s="120">
        <v>16446</v>
      </c>
      <c r="I57" s="120">
        <v>7299</v>
      </c>
      <c r="J57" s="120">
        <v>325</v>
      </c>
      <c r="K57" s="120">
        <v>-2182</v>
      </c>
      <c r="L57" s="120">
        <v>-2569</v>
      </c>
    </row>
    <row r="58" spans="2:12" x14ac:dyDescent="0.3">
      <c r="B58" t="s">
        <v>93</v>
      </c>
      <c r="C58" s="120">
        <v>6166</v>
      </c>
      <c r="D58" s="120">
        <v>-4914</v>
      </c>
      <c r="E58" s="120">
        <v>-9276</v>
      </c>
      <c r="F58" s="120">
        <v>2591</v>
      </c>
      <c r="G58" s="120">
        <v>4196</v>
      </c>
      <c r="H58" s="120">
        <v>16491</v>
      </c>
      <c r="I58" s="120">
        <v>-9618</v>
      </c>
      <c r="J58" s="120">
        <v>-3706</v>
      </c>
      <c r="K58" s="120">
        <v>3384</v>
      </c>
      <c r="L58" s="120">
        <v>2207</v>
      </c>
    </row>
    <row r="59" spans="2:12" x14ac:dyDescent="0.3">
      <c r="B59" t="s">
        <v>94</v>
      </c>
      <c r="C59" s="120">
        <v>-1534</v>
      </c>
      <c r="D59" s="120">
        <v>-1843</v>
      </c>
      <c r="E59" s="120">
        <v>-2888</v>
      </c>
      <c r="F59" s="120">
        <v>-5094</v>
      </c>
      <c r="G59" s="120">
        <v>-2106</v>
      </c>
      <c r="H59" s="120">
        <v>-704</v>
      </c>
      <c r="I59" s="120">
        <v>-11902</v>
      </c>
      <c r="J59" s="120">
        <v>-5519</v>
      </c>
      <c r="K59" s="120">
        <v>-5320</v>
      </c>
      <c r="L59" s="120">
        <v>-2624</v>
      </c>
    </row>
    <row r="60" spans="2:12" x14ac:dyDescent="0.3">
      <c r="C60" s="120"/>
      <c r="D60" s="120"/>
      <c r="E60" s="120"/>
      <c r="F60" s="120"/>
      <c r="G60" s="120"/>
      <c r="H60" s="120"/>
      <c r="I60" s="120"/>
      <c r="J60" s="120"/>
      <c r="K60" s="120"/>
      <c r="L60" s="120"/>
    </row>
    <row r="61" spans="2:12" x14ac:dyDescent="0.3">
      <c r="B61" s="2" t="s">
        <v>113</v>
      </c>
      <c r="C61" s="121">
        <v>-8794</v>
      </c>
      <c r="D61" s="121">
        <v>-9490</v>
      </c>
      <c r="E61" s="121">
        <v>-11730</v>
      </c>
      <c r="F61" s="121">
        <v>-29176</v>
      </c>
      <c r="G61" s="121">
        <v>-14012</v>
      </c>
      <c r="H61" s="121">
        <v>-9437</v>
      </c>
      <c r="I61" s="121">
        <v>-10905</v>
      </c>
      <c r="J61" s="121">
        <v>-18179</v>
      </c>
      <c r="K61" s="121">
        <v>-14253</v>
      </c>
      <c r="L61" s="121">
        <v>-13985</v>
      </c>
    </row>
    <row r="62" spans="2:12" x14ac:dyDescent="0.3">
      <c r="B62" t="s">
        <v>95</v>
      </c>
      <c r="C62" s="120">
        <v>-10163</v>
      </c>
      <c r="D62" s="120">
        <v>-7716</v>
      </c>
      <c r="E62" s="120">
        <v>-7478</v>
      </c>
      <c r="F62" s="120">
        <v>-9091</v>
      </c>
      <c r="G62" s="120">
        <v>-10398</v>
      </c>
      <c r="H62" s="120">
        <v>-6979</v>
      </c>
      <c r="I62" s="120">
        <v>-10522</v>
      </c>
      <c r="J62" s="120">
        <v>-14142</v>
      </c>
      <c r="K62" s="120">
        <v>-18207</v>
      </c>
      <c r="L62" s="120">
        <v>-15671</v>
      </c>
    </row>
    <row r="63" spans="2:12" x14ac:dyDescent="0.3">
      <c r="B63" t="s">
        <v>96</v>
      </c>
      <c r="C63" s="120">
        <v>231</v>
      </c>
      <c r="D63" s="120">
        <v>289</v>
      </c>
      <c r="E63" s="120">
        <v>179</v>
      </c>
      <c r="F63" s="120">
        <v>467</v>
      </c>
      <c r="G63" s="120">
        <v>386</v>
      </c>
      <c r="H63" s="120">
        <v>445</v>
      </c>
      <c r="I63" s="120">
        <v>569</v>
      </c>
      <c r="J63" s="120">
        <v>328</v>
      </c>
      <c r="K63" s="120">
        <v>475</v>
      </c>
      <c r="L63" s="120">
        <v>1264</v>
      </c>
    </row>
    <row r="64" spans="2:12" x14ac:dyDescent="0.3">
      <c r="B64" t="s">
        <v>97</v>
      </c>
      <c r="C64" s="120">
        <v>-3796</v>
      </c>
      <c r="D64" s="120">
        <v>-861</v>
      </c>
      <c r="E64" s="120">
        <v>-8641</v>
      </c>
      <c r="F64" s="120">
        <v>-490</v>
      </c>
      <c r="G64" s="120">
        <v>-828</v>
      </c>
      <c r="H64" s="120">
        <v>-3631</v>
      </c>
      <c r="I64" s="120">
        <v>-1153</v>
      </c>
      <c r="J64" s="120">
        <v>-326</v>
      </c>
      <c r="K64" s="120">
        <v>-4</v>
      </c>
      <c r="L64" s="120">
        <v>-393</v>
      </c>
    </row>
    <row r="65" spans="2:12" x14ac:dyDescent="0.3">
      <c r="B65" t="s">
        <v>98</v>
      </c>
      <c r="C65" s="120">
        <v>4275</v>
      </c>
      <c r="D65" s="120">
        <v>91</v>
      </c>
      <c r="E65" s="120">
        <v>3899</v>
      </c>
      <c r="F65" s="120">
        <v>13556</v>
      </c>
      <c r="G65" s="120">
        <v>121</v>
      </c>
      <c r="H65" s="120">
        <v>0</v>
      </c>
      <c r="I65" s="120">
        <v>63</v>
      </c>
      <c r="J65" s="120">
        <v>5191</v>
      </c>
      <c r="K65" s="120">
        <v>3171</v>
      </c>
      <c r="L65" s="120">
        <v>554</v>
      </c>
    </row>
    <row r="66" spans="2:12" x14ac:dyDescent="0.3">
      <c r="B66" t="s">
        <v>99</v>
      </c>
      <c r="C66" s="120">
        <v>133</v>
      </c>
      <c r="D66" s="120">
        <v>140</v>
      </c>
      <c r="E66" s="120">
        <v>254</v>
      </c>
      <c r="F66" s="120">
        <v>175</v>
      </c>
      <c r="G66" s="120">
        <v>203</v>
      </c>
      <c r="H66" s="120">
        <v>266</v>
      </c>
      <c r="I66" s="120">
        <v>137</v>
      </c>
      <c r="J66" s="120">
        <v>248</v>
      </c>
      <c r="K66" s="120">
        <v>333</v>
      </c>
      <c r="L66" s="120">
        <v>242</v>
      </c>
    </row>
    <row r="67" spans="2:12" x14ac:dyDescent="0.3">
      <c r="B67" t="s">
        <v>100</v>
      </c>
      <c r="C67" s="120">
        <v>108</v>
      </c>
      <c r="D67" s="120">
        <v>85</v>
      </c>
      <c r="E67" s="120">
        <v>111</v>
      </c>
      <c r="F67" s="120">
        <v>148</v>
      </c>
      <c r="G67" s="120">
        <v>103</v>
      </c>
      <c r="H67" s="120">
        <v>135</v>
      </c>
      <c r="I67" s="120">
        <v>162</v>
      </c>
      <c r="J67" s="120">
        <v>317</v>
      </c>
      <c r="K67" s="120">
        <v>336</v>
      </c>
      <c r="L67" s="120">
        <v>294</v>
      </c>
    </row>
    <row r="68" spans="2:12" x14ac:dyDescent="0.3">
      <c r="B68" t="s">
        <v>101</v>
      </c>
      <c r="C68" s="120">
        <v>0</v>
      </c>
      <c r="D68" s="120">
        <v>0</v>
      </c>
      <c r="E68" s="120">
        <v>34</v>
      </c>
      <c r="F68" s="120">
        <v>156</v>
      </c>
      <c r="G68" s="120">
        <v>378</v>
      </c>
      <c r="H68" s="120">
        <v>90</v>
      </c>
      <c r="I68" s="120">
        <v>1208</v>
      </c>
      <c r="J68" s="120">
        <v>166</v>
      </c>
      <c r="K68" s="120">
        <v>123</v>
      </c>
      <c r="L68" s="120">
        <v>28</v>
      </c>
    </row>
    <row r="69" spans="2:12" x14ac:dyDescent="0.3">
      <c r="B69" t="s">
        <v>102</v>
      </c>
      <c r="C69" s="120">
        <v>-78</v>
      </c>
      <c r="D69" s="120">
        <v>-1081</v>
      </c>
      <c r="E69" s="120">
        <v>-255</v>
      </c>
      <c r="F69" s="120">
        <v>-34569</v>
      </c>
      <c r="G69" s="120">
        <v>-4433</v>
      </c>
      <c r="H69" s="120">
        <v>0</v>
      </c>
      <c r="I69" s="120">
        <v>-53</v>
      </c>
      <c r="J69" s="120">
        <v>-10569</v>
      </c>
      <c r="K69" s="120">
        <v>0</v>
      </c>
      <c r="L69" s="120">
        <v>-6</v>
      </c>
    </row>
    <row r="70" spans="2:12" x14ac:dyDescent="0.3">
      <c r="B70" t="s">
        <v>103</v>
      </c>
      <c r="C70" s="120">
        <v>0</v>
      </c>
      <c r="D70" s="120">
        <v>0</v>
      </c>
      <c r="E70" s="120">
        <v>0</v>
      </c>
      <c r="F70" s="120">
        <v>0</v>
      </c>
      <c r="G70" s="120">
        <v>0</v>
      </c>
      <c r="H70" s="120">
        <v>0</v>
      </c>
      <c r="I70" s="120">
        <v>0</v>
      </c>
      <c r="J70" s="120">
        <v>0</v>
      </c>
      <c r="K70" s="120">
        <v>0</v>
      </c>
      <c r="L70" s="120">
        <v>0</v>
      </c>
    </row>
    <row r="71" spans="2:12" x14ac:dyDescent="0.3">
      <c r="B71" t="s">
        <v>104</v>
      </c>
      <c r="C71" s="120">
        <v>496</v>
      </c>
      <c r="D71" s="120">
        <v>-437</v>
      </c>
      <c r="E71" s="120">
        <v>166</v>
      </c>
      <c r="F71" s="120">
        <v>471</v>
      </c>
      <c r="G71" s="120">
        <v>456</v>
      </c>
      <c r="H71" s="120">
        <v>236</v>
      </c>
      <c r="I71" s="120">
        <v>-1315</v>
      </c>
      <c r="J71" s="120">
        <v>609</v>
      </c>
      <c r="K71" s="120">
        <v>-481</v>
      </c>
      <c r="L71" s="120">
        <v>-298</v>
      </c>
    </row>
    <row r="72" spans="2:12" x14ac:dyDescent="0.3">
      <c r="C72" s="120"/>
      <c r="D72" s="120"/>
      <c r="E72" s="120"/>
      <c r="F72" s="120"/>
      <c r="G72" s="120"/>
      <c r="H72" s="120"/>
      <c r="I72" s="120"/>
      <c r="J72" s="120"/>
      <c r="K72" s="120"/>
      <c r="L72" s="120"/>
    </row>
    <row r="73" spans="2:12" x14ac:dyDescent="0.3">
      <c r="B73" s="2" t="s">
        <v>114</v>
      </c>
      <c r="C73" s="121">
        <v>-4729</v>
      </c>
      <c r="D73" s="121">
        <v>-2579</v>
      </c>
      <c r="E73" s="121">
        <v>6640</v>
      </c>
      <c r="F73" s="121">
        <v>-673</v>
      </c>
      <c r="G73" s="121">
        <v>-1695</v>
      </c>
      <c r="H73" s="121">
        <v>-37090</v>
      </c>
      <c r="I73" s="121">
        <v>-23401</v>
      </c>
      <c r="J73" s="121">
        <v>-6981</v>
      </c>
      <c r="K73" s="121">
        <v>-11097</v>
      </c>
      <c r="L73" s="121">
        <v>-7002</v>
      </c>
    </row>
    <row r="74" spans="2:12" x14ac:dyDescent="0.3">
      <c r="B74" t="s">
        <v>105</v>
      </c>
      <c r="C74" s="120">
        <v>0</v>
      </c>
      <c r="D74" s="120">
        <v>652</v>
      </c>
      <c r="E74" s="120">
        <v>9087</v>
      </c>
      <c r="F74" s="120">
        <v>0</v>
      </c>
      <c r="G74" s="120">
        <v>188</v>
      </c>
      <c r="H74" s="120">
        <v>3239</v>
      </c>
      <c r="I74" s="120">
        <v>326</v>
      </c>
      <c r="J74" s="120">
        <v>1</v>
      </c>
      <c r="K74" s="120">
        <v>0</v>
      </c>
      <c r="L74" s="120">
        <v>0</v>
      </c>
    </row>
    <row r="75" spans="2:12" x14ac:dyDescent="0.3">
      <c r="B75" t="s">
        <v>106</v>
      </c>
      <c r="C75" s="120">
        <v>0</v>
      </c>
      <c r="D75" s="120">
        <v>0</v>
      </c>
      <c r="E75" s="120">
        <v>0</v>
      </c>
      <c r="F75" s="120">
        <v>33344</v>
      </c>
      <c r="G75" s="120">
        <v>16574</v>
      </c>
      <c r="H75" s="120">
        <v>9801</v>
      </c>
      <c r="I75" s="120">
        <v>12439</v>
      </c>
      <c r="J75" s="120">
        <v>16769</v>
      </c>
      <c r="K75" s="120">
        <v>14120</v>
      </c>
      <c r="L75" s="120">
        <v>23893</v>
      </c>
    </row>
    <row r="76" spans="2:12" x14ac:dyDescent="0.3">
      <c r="B76" t="s">
        <v>107</v>
      </c>
      <c r="C76" s="120">
        <v>0</v>
      </c>
      <c r="D76" s="120">
        <v>0</v>
      </c>
      <c r="E76" s="120">
        <v>0</v>
      </c>
      <c r="F76" s="120">
        <v>-25077</v>
      </c>
      <c r="G76" s="120">
        <v>-7937</v>
      </c>
      <c r="H76" s="120">
        <v>-39177</v>
      </c>
      <c r="I76" s="120">
        <v>-26360</v>
      </c>
      <c r="J76" s="120">
        <v>-10226</v>
      </c>
      <c r="K76" s="120">
        <v>-11908</v>
      </c>
      <c r="L76" s="120">
        <v>-17627</v>
      </c>
    </row>
    <row r="77" spans="2:12" x14ac:dyDescent="0.3">
      <c r="B77" t="s">
        <v>108</v>
      </c>
      <c r="C77" s="120">
        <v>-5483</v>
      </c>
      <c r="D77" s="120">
        <v>-4733</v>
      </c>
      <c r="E77" s="120">
        <v>-5146</v>
      </c>
      <c r="F77" s="120">
        <v>-6901</v>
      </c>
      <c r="G77" s="120">
        <v>-7419</v>
      </c>
      <c r="H77" s="120">
        <v>-6804</v>
      </c>
      <c r="I77" s="120">
        <v>-4687</v>
      </c>
      <c r="J77" s="120">
        <v>-6120</v>
      </c>
      <c r="K77" s="120">
        <v>-8145</v>
      </c>
      <c r="L77" s="120">
        <v>-8119</v>
      </c>
    </row>
    <row r="78" spans="2:12" x14ac:dyDescent="0.3">
      <c r="B78" t="s">
        <v>109</v>
      </c>
      <c r="C78" s="120">
        <v>-788</v>
      </c>
      <c r="D78" s="120">
        <v>-791</v>
      </c>
      <c r="E78" s="120">
        <v>-982</v>
      </c>
      <c r="F78" s="120">
        <v>-1186</v>
      </c>
      <c r="G78" s="120">
        <v>-1507</v>
      </c>
      <c r="H78" s="120">
        <v>-1151</v>
      </c>
      <c r="I78" s="120">
        <v>-3020</v>
      </c>
      <c r="J78" s="120">
        <v>-6293</v>
      </c>
      <c r="K78" s="120">
        <v>-4429</v>
      </c>
      <c r="L78" s="120">
        <v>-4490</v>
      </c>
    </row>
    <row r="79" spans="2:12" x14ac:dyDescent="0.3">
      <c r="B79" t="s">
        <v>110</v>
      </c>
      <c r="C79" s="120">
        <v>-200</v>
      </c>
      <c r="D79" s="120">
        <v>-208</v>
      </c>
      <c r="E79" s="120">
        <v>-211</v>
      </c>
      <c r="F79" s="120">
        <v>-276</v>
      </c>
      <c r="G79" s="120">
        <v>-1029</v>
      </c>
      <c r="H79" s="120">
        <v>-1284</v>
      </c>
      <c r="I79" s="120">
        <v>-1310</v>
      </c>
      <c r="J79" s="120">
        <v>-1114</v>
      </c>
      <c r="K79" s="120">
        <v>-1140</v>
      </c>
      <c r="L79" s="120">
        <v>-971</v>
      </c>
    </row>
    <row r="80" spans="2:12" x14ac:dyDescent="0.3">
      <c r="B80" t="s">
        <v>111</v>
      </c>
      <c r="C80" s="120">
        <v>1743</v>
      </c>
      <c r="D80" s="120">
        <v>2501</v>
      </c>
      <c r="E80" s="120">
        <v>3892</v>
      </c>
      <c r="F80" s="120">
        <v>-576</v>
      </c>
      <c r="G80" s="120">
        <v>-564</v>
      </c>
      <c r="H80" s="120">
        <v>-1714</v>
      </c>
      <c r="I80" s="120">
        <v>-789</v>
      </c>
      <c r="J80" s="120">
        <v>2</v>
      </c>
      <c r="K80" s="120">
        <v>404</v>
      </c>
      <c r="L80" s="120">
        <v>312</v>
      </c>
    </row>
    <row r="81" spans="2:12" x14ac:dyDescent="0.3">
      <c r="C81" s="122"/>
      <c r="D81" s="122"/>
      <c r="E81" s="122"/>
      <c r="F81" s="122"/>
      <c r="G81" s="122"/>
      <c r="H81" s="122"/>
      <c r="I81" s="122"/>
      <c r="J81" s="122"/>
      <c r="K81" s="122"/>
      <c r="L81" s="122"/>
    </row>
    <row r="82" spans="2:12" ht="15" thickBot="1" x14ac:dyDescent="0.35">
      <c r="B82" s="134" t="s">
        <v>21</v>
      </c>
      <c r="C82" s="144">
        <v>-2068</v>
      </c>
      <c r="D82" s="144">
        <v>-1245</v>
      </c>
      <c r="E82" s="144">
        <v>2933</v>
      </c>
      <c r="F82" s="144">
        <v>-4513</v>
      </c>
      <c r="G82" s="144">
        <v>4462</v>
      </c>
      <c r="H82" s="144">
        <v>-2200</v>
      </c>
      <c r="I82" s="144">
        <v>10075</v>
      </c>
      <c r="J82" s="144">
        <v>-3477</v>
      </c>
      <c r="K82" s="144">
        <v>-5049</v>
      </c>
      <c r="L82" s="144">
        <v>2524</v>
      </c>
    </row>
    <row r="83" spans="2:12" ht="15" thickTop="1" x14ac:dyDescent="0.3"/>
  </sheetData>
  <pageMargins left="0.7" right="0.7" top="0.75" bottom="0.75" header="0.3" footer="0.3"/>
  <pageSetup scale="5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7C45-0F6C-4C1F-B566-20173F75B694}">
  <sheetPr>
    <pageSetUpPr fitToPage="1"/>
  </sheetPr>
  <dimension ref="A2:K67"/>
  <sheetViews>
    <sheetView showGridLines="0" zoomScaleNormal="100" workbookViewId="0">
      <pane ySplit="4" topLeftCell="A5" activePane="bottomLeft" state="frozen"/>
      <selection pane="bottomLeft" activeCell="J72" sqref="J72"/>
    </sheetView>
  </sheetViews>
  <sheetFormatPr defaultRowHeight="14.4" x14ac:dyDescent="0.3"/>
  <cols>
    <col min="1" max="1" width="1.88671875" customWidth="1"/>
    <col min="2" max="2" width="11.5546875" customWidth="1"/>
    <col min="3" max="3" width="10.88671875" customWidth="1"/>
    <col min="7" max="7" width="11.6640625" customWidth="1"/>
    <col min="8" max="8" width="10.44140625" customWidth="1"/>
    <col min="9" max="9" width="12.33203125" customWidth="1"/>
    <col min="10" max="10" width="15.44140625" customWidth="1"/>
    <col min="11" max="11" width="11.77734375" customWidth="1"/>
  </cols>
  <sheetData>
    <row r="2" spans="1:11" x14ac:dyDescent="0.3">
      <c r="B2" s="213" t="s">
        <v>33</v>
      </c>
      <c r="C2" s="213"/>
      <c r="D2" s="213"/>
      <c r="E2" s="213"/>
      <c r="F2" s="213"/>
      <c r="G2" s="213"/>
      <c r="H2" s="213"/>
      <c r="I2" s="213"/>
      <c r="J2" s="213"/>
      <c r="K2" s="213"/>
    </row>
    <row r="4" spans="1:11" x14ac:dyDescent="0.3">
      <c r="A4" t="s">
        <v>56</v>
      </c>
      <c r="B4" s="102" t="s">
        <v>287</v>
      </c>
      <c r="C4" s="102"/>
      <c r="D4" s="102"/>
      <c r="E4" s="102"/>
      <c r="F4" s="102"/>
      <c r="G4" s="113">
        <v>44256</v>
      </c>
      <c r="H4" s="113">
        <v>44621</v>
      </c>
      <c r="I4" s="113">
        <v>44986</v>
      </c>
      <c r="J4" s="113">
        <v>45352</v>
      </c>
      <c r="K4" s="113">
        <v>45717</v>
      </c>
    </row>
    <row r="6" spans="1:11" x14ac:dyDescent="0.3">
      <c r="B6" s="2" t="s">
        <v>289</v>
      </c>
    </row>
    <row r="7" spans="1:11" x14ac:dyDescent="0.3">
      <c r="B7" s="27" t="str">
        <f>'IG raw Data'!B41</f>
        <v>Inventories</v>
      </c>
      <c r="C7" s="27"/>
      <c r="D7" s="27"/>
      <c r="E7" s="27"/>
      <c r="F7" s="27"/>
      <c r="G7" s="127">
        <f>'IG raw Data'!H41</f>
        <v>33276</v>
      </c>
      <c r="H7" s="127">
        <f>'IG raw Data'!I41</f>
        <v>48824</v>
      </c>
      <c r="I7" s="127">
        <f>'IG raw Data'!J41</f>
        <v>54415</v>
      </c>
      <c r="J7" s="127">
        <f>'IG raw Data'!K41</f>
        <v>49158</v>
      </c>
      <c r="K7" s="127">
        <f>'IG raw Data'!L41</f>
        <v>44590</v>
      </c>
    </row>
    <row r="8" spans="1:11" x14ac:dyDescent="0.3">
      <c r="B8" t="str">
        <f>'IG raw Data'!B42</f>
        <v xml:space="preserve">Trade receivables </v>
      </c>
      <c r="G8" s="126">
        <f>'IG raw Data'!H42</f>
        <v>9540</v>
      </c>
      <c r="H8" s="126">
        <f>'IG raw Data'!I42</f>
        <v>12246</v>
      </c>
      <c r="I8" s="126">
        <f>'IG raw Data'!J42</f>
        <v>8257</v>
      </c>
      <c r="J8" s="126">
        <f>'IG raw Data'!K42</f>
        <v>6264</v>
      </c>
      <c r="K8" s="126">
        <f>'IG raw Data'!L42</f>
        <v>5260</v>
      </c>
    </row>
    <row r="9" spans="1:11" x14ac:dyDescent="0.3">
      <c r="B9" s="30" t="str">
        <f>'IG raw Data'!B43</f>
        <v>Cash Equivalents</v>
      </c>
      <c r="C9" s="30"/>
      <c r="D9" s="30"/>
      <c r="E9" s="30"/>
      <c r="F9" s="30"/>
      <c r="G9" s="128">
        <f>'IG raw Data'!H43</f>
        <v>5782</v>
      </c>
      <c r="H9" s="128">
        <f>'IG raw Data'!I43</f>
        <v>15899</v>
      </c>
      <c r="I9" s="128">
        <f>'IG raw Data'!J43</f>
        <v>13357</v>
      </c>
      <c r="J9" s="128">
        <f>'IG raw Data'!K43</f>
        <v>8678</v>
      </c>
      <c r="K9" s="128">
        <f>'IG raw Data'!L43</f>
        <v>11647</v>
      </c>
    </row>
    <row r="10" spans="1:11" x14ac:dyDescent="0.3">
      <c r="B10" t="str">
        <f>'IG raw Data'!B44</f>
        <v>Loans n Advances</v>
      </c>
      <c r="G10" s="126">
        <f>'IG raw Data'!H44</f>
        <v>-193</v>
      </c>
      <c r="H10" s="126">
        <f>'IG raw Data'!I44</f>
        <v>-158</v>
      </c>
      <c r="I10" s="126">
        <f>'IG raw Data'!J44</f>
        <v>-90</v>
      </c>
      <c r="J10" s="126">
        <f>'IG raw Data'!K44</f>
        <v>-56</v>
      </c>
      <c r="K10" s="126">
        <f>'IG raw Data'!L44</f>
        <v>-146</v>
      </c>
    </row>
    <row r="11" spans="1:11" x14ac:dyDescent="0.3">
      <c r="B11" t="str">
        <f>'IG raw Data'!B45</f>
        <v>Other asset items</v>
      </c>
      <c r="G11" s="126">
        <f>'IG raw Data'!H45</f>
        <v>30039</v>
      </c>
      <c r="H11" s="126">
        <f>'IG raw Data'!I45</f>
        <v>37137</v>
      </c>
      <c r="I11" s="126">
        <f>'IG raw Data'!J45</f>
        <v>23211</v>
      </c>
      <c r="J11" s="126">
        <f>'IG raw Data'!K45</f>
        <v>15842</v>
      </c>
      <c r="K11" s="126">
        <f>'IG raw Data'!L45</f>
        <v>15377</v>
      </c>
    </row>
    <row r="12" spans="1:11" x14ac:dyDescent="0.3">
      <c r="B12" s="123" t="s">
        <v>291</v>
      </c>
      <c r="C12" s="129"/>
      <c r="D12" s="129"/>
      <c r="E12" s="129"/>
      <c r="F12" s="129"/>
      <c r="G12" s="130">
        <f>SUM(G7:G11)</f>
        <v>78444</v>
      </c>
      <c r="H12" s="130">
        <f t="shared" ref="H12:K12" si="0">SUM(H7:H11)</f>
        <v>113948</v>
      </c>
      <c r="I12" s="130">
        <f t="shared" si="0"/>
        <v>99150</v>
      </c>
      <c r="J12" s="130">
        <f t="shared" si="0"/>
        <v>79886</v>
      </c>
      <c r="K12" s="130">
        <f t="shared" si="0"/>
        <v>76728</v>
      </c>
    </row>
    <row r="14" spans="1:11" x14ac:dyDescent="0.3">
      <c r="B14" s="2" t="s">
        <v>292</v>
      </c>
    </row>
    <row r="15" spans="1:11" x14ac:dyDescent="0.3">
      <c r="B15" s="131" t="s">
        <v>266</v>
      </c>
      <c r="C15" s="131"/>
      <c r="D15" s="131"/>
      <c r="E15" s="131"/>
      <c r="F15" s="131"/>
      <c r="G15" s="132">
        <f>'IG raw Data'!H17</f>
        <v>25967</v>
      </c>
      <c r="H15" s="132">
        <f>'IG raw Data'!I17</f>
        <v>36765</v>
      </c>
      <c r="I15" s="132">
        <f>'IG raw Data'!J17</f>
        <v>37833</v>
      </c>
      <c r="J15" s="132">
        <f>'IG raw Data'!K17</f>
        <v>30228</v>
      </c>
      <c r="K15" s="132">
        <f>'IG raw Data'!L17</f>
        <v>29314</v>
      </c>
    </row>
    <row r="16" spans="1:11" x14ac:dyDescent="0.3">
      <c r="B16" s="131" t="s">
        <v>293</v>
      </c>
      <c r="C16" s="131"/>
      <c r="D16" s="131"/>
      <c r="E16" s="131"/>
      <c r="F16" s="131"/>
      <c r="G16" s="132">
        <f>'IG raw Data'!H18</f>
        <v>2399</v>
      </c>
      <c r="H16" s="132">
        <f>'IG raw Data'!I18</f>
        <v>3253</v>
      </c>
      <c r="I16" s="132">
        <f>'IG raw Data'!J18</f>
        <v>3394</v>
      </c>
      <c r="J16" s="132">
        <f>'IG raw Data'!K18</f>
        <v>2771</v>
      </c>
      <c r="K16" s="132">
        <f>'IG raw Data'!L18</f>
        <v>1655</v>
      </c>
    </row>
    <row r="17" spans="1:11" x14ac:dyDescent="0.3">
      <c r="B17" t="s">
        <v>268</v>
      </c>
      <c r="G17" s="126">
        <f>'IG raw Data'!H19</f>
        <v>49533</v>
      </c>
      <c r="H17" s="126">
        <f>'IG raw Data'!I19</f>
        <v>49744</v>
      </c>
      <c r="I17" s="126">
        <f>'IG raw Data'!J19</f>
        <v>54101</v>
      </c>
      <c r="J17" s="126">
        <f>'IG raw Data'!K19</f>
        <v>56799</v>
      </c>
      <c r="K17" s="126">
        <f>'IG raw Data'!L19</f>
        <v>58335</v>
      </c>
    </row>
    <row r="18" spans="1:11" x14ac:dyDescent="0.3">
      <c r="B18" s="123" t="s">
        <v>294</v>
      </c>
      <c r="C18" s="129"/>
      <c r="D18" s="129"/>
      <c r="E18" s="129"/>
      <c r="F18" s="129"/>
      <c r="G18" s="130">
        <f>SUM(G15:G17)</f>
        <v>77899</v>
      </c>
      <c r="H18" s="130">
        <f t="shared" ref="H18:K18" si="1">SUM(H15:H17)</f>
        <v>89762</v>
      </c>
      <c r="I18" s="130">
        <f t="shared" si="1"/>
        <v>95328</v>
      </c>
      <c r="J18" s="130">
        <f t="shared" si="1"/>
        <v>89798</v>
      </c>
      <c r="K18" s="130">
        <f t="shared" si="1"/>
        <v>89304</v>
      </c>
    </row>
    <row r="20" spans="1:11" ht="15" thickBot="1" x14ac:dyDescent="0.35">
      <c r="A20" t="s">
        <v>56</v>
      </c>
      <c r="B20" s="134" t="s">
        <v>295</v>
      </c>
      <c r="C20" s="135"/>
      <c r="D20" s="135"/>
      <c r="E20" s="135"/>
      <c r="F20" s="135"/>
      <c r="G20" s="136">
        <f>G21</f>
        <v>545</v>
      </c>
      <c r="H20" s="136">
        <f t="shared" ref="H20:K20" si="2">H21</f>
        <v>24186</v>
      </c>
      <c r="I20" s="136">
        <f t="shared" si="2"/>
        <v>3822</v>
      </c>
      <c r="J20" s="136">
        <f t="shared" si="2"/>
        <v>-9912</v>
      </c>
      <c r="K20" s="136">
        <f t="shared" si="2"/>
        <v>-12576</v>
      </c>
    </row>
    <row r="21" spans="1:11" ht="15" thickTop="1" x14ac:dyDescent="0.3">
      <c r="G21" s="133">
        <f>G12-G18</f>
        <v>545</v>
      </c>
      <c r="H21" s="133">
        <f t="shared" ref="H21:K21" si="3">H12-H18</f>
        <v>24186</v>
      </c>
      <c r="I21" s="133">
        <f t="shared" si="3"/>
        <v>3822</v>
      </c>
      <c r="J21" s="133">
        <f t="shared" si="3"/>
        <v>-9912</v>
      </c>
      <c r="K21" s="133">
        <f t="shared" si="3"/>
        <v>-12576</v>
      </c>
    </row>
    <row r="22" spans="1:11" x14ac:dyDescent="0.3">
      <c r="B22" s="2" t="s">
        <v>296</v>
      </c>
    </row>
    <row r="23" spans="1:11" x14ac:dyDescent="0.3">
      <c r="B23" s="131" t="str">
        <f>'IG raw Data'!B23</f>
        <v>Land</v>
      </c>
      <c r="C23" s="131"/>
      <c r="D23" s="131"/>
      <c r="E23" s="131"/>
      <c r="F23" s="131"/>
      <c r="G23" s="120">
        <f>'IG raw Data'!H23</f>
        <v>20656</v>
      </c>
      <c r="H23" s="120">
        <f>'IG raw Data'!I23</f>
        <v>20770</v>
      </c>
      <c r="I23" s="120">
        <f>'IG raw Data'!J23</f>
        <v>21701</v>
      </c>
      <c r="J23" s="120">
        <f>'IG raw Data'!K23</f>
        <v>22067</v>
      </c>
      <c r="K23" s="120">
        <f>'IG raw Data'!L23</f>
        <v>22299</v>
      </c>
    </row>
    <row r="24" spans="1:11" x14ac:dyDescent="0.3">
      <c r="B24" s="131" t="str">
        <f>'IG raw Data'!B24</f>
        <v>Building</v>
      </c>
      <c r="C24" s="131"/>
      <c r="D24" s="131"/>
      <c r="E24" s="131"/>
      <c r="F24" s="131"/>
      <c r="G24" s="120">
        <f>'IG raw Data'!H24</f>
        <v>26828</v>
      </c>
      <c r="H24" s="120">
        <f>'IG raw Data'!I24</f>
        <v>27588</v>
      </c>
      <c r="I24" s="120">
        <f>'IG raw Data'!J24</f>
        <v>28904</v>
      </c>
      <c r="J24" s="120">
        <f>'IG raw Data'!K24</f>
        <v>30173</v>
      </c>
      <c r="K24" s="120">
        <f>'IG raw Data'!L24</f>
        <v>31819</v>
      </c>
    </row>
    <row r="25" spans="1:11" x14ac:dyDescent="0.3">
      <c r="B25" s="131" t="str">
        <f>'IG raw Data'!B25</f>
        <v>Plant Machinery</v>
      </c>
      <c r="C25" s="131"/>
      <c r="D25" s="131"/>
      <c r="E25" s="131"/>
      <c r="F25" s="131"/>
      <c r="G25" s="120">
        <f>'IG raw Data'!H25</f>
        <v>155596</v>
      </c>
      <c r="H25" s="120">
        <f>'IG raw Data'!I25</f>
        <v>152754</v>
      </c>
      <c r="I25" s="120">
        <f>'IG raw Data'!J25</f>
        <v>163134</v>
      </c>
      <c r="J25" s="120">
        <f>'IG raw Data'!K25</f>
        <v>175111</v>
      </c>
      <c r="K25" s="120">
        <f>'IG raw Data'!L25</f>
        <v>186115</v>
      </c>
    </row>
    <row r="26" spans="1:11" x14ac:dyDescent="0.3">
      <c r="B26" s="131" t="str">
        <f>'IG raw Data'!B26</f>
        <v>Equipments</v>
      </c>
      <c r="C26" s="131"/>
      <c r="D26" s="131"/>
      <c r="E26" s="131"/>
      <c r="F26" s="131"/>
      <c r="G26" s="120">
        <f>'IG raw Data'!H26</f>
        <v>0</v>
      </c>
      <c r="H26" s="120">
        <f>'IG raw Data'!I26</f>
        <v>0</v>
      </c>
      <c r="I26" s="120">
        <f>'IG raw Data'!J26</f>
        <v>0</v>
      </c>
      <c r="J26" s="120">
        <f>'IG raw Data'!K26</f>
        <v>0</v>
      </c>
      <c r="K26" s="120">
        <f>'IG raw Data'!L26</f>
        <v>0</v>
      </c>
    </row>
    <row r="27" spans="1:11" x14ac:dyDescent="0.3">
      <c r="B27" s="131" t="str">
        <f>'IG raw Data'!B27</f>
        <v>Furniture n fittings</v>
      </c>
      <c r="C27" s="131"/>
      <c r="D27" s="131"/>
      <c r="E27" s="131"/>
      <c r="F27" s="131"/>
      <c r="G27" s="120">
        <f>'IG raw Data'!H27</f>
        <v>1047</v>
      </c>
      <c r="H27" s="120">
        <f>'IG raw Data'!I27</f>
        <v>991</v>
      </c>
      <c r="I27" s="120">
        <f>'IG raw Data'!J27</f>
        <v>1111</v>
      </c>
      <c r="J27" s="120">
        <f>'IG raw Data'!K27</f>
        <v>1238</v>
      </c>
      <c r="K27" s="120">
        <f>'IG raw Data'!L27</f>
        <v>1298</v>
      </c>
    </row>
    <row r="28" spans="1:11" x14ac:dyDescent="0.3">
      <c r="B28" s="131" t="str">
        <f>'IG raw Data'!B28</f>
        <v>Railway sidings</v>
      </c>
      <c r="C28" s="131"/>
      <c r="D28" s="131"/>
      <c r="E28" s="131"/>
      <c r="F28" s="131"/>
      <c r="G28" s="120">
        <f>'IG raw Data'!H28</f>
        <v>1671</v>
      </c>
      <c r="H28" s="120">
        <f>'IG raw Data'!I28</f>
        <v>1780</v>
      </c>
      <c r="I28" s="120">
        <f>'IG raw Data'!J28</f>
        <v>1841</v>
      </c>
      <c r="J28" s="120">
        <f>'IG raw Data'!K28</f>
        <v>1872</v>
      </c>
      <c r="K28" s="120">
        <f>'IG raw Data'!L28</f>
        <v>1890</v>
      </c>
    </row>
    <row r="29" spans="1:11" x14ac:dyDescent="0.3">
      <c r="B29" s="131" t="str">
        <f>'IG raw Data'!B29</f>
        <v>Vehicles</v>
      </c>
      <c r="C29" s="131"/>
      <c r="D29" s="131"/>
      <c r="E29" s="131"/>
      <c r="F29" s="131"/>
      <c r="G29" s="120">
        <f>'IG raw Data'!H29</f>
        <v>681</v>
      </c>
      <c r="H29" s="120">
        <f>'IG raw Data'!I29</f>
        <v>686</v>
      </c>
      <c r="I29" s="120">
        <f>'IG raw Data'!J29</f>
        <v>749</v>
      </c>
      <c r="J29" s="120">
        <f>'IG raw Data'!K29</f>
        <v>794</v>
      </c>
      <c r="K29" s="120">
        <f>'IG raw Data'!L29</f>
        <v>830</v>
      </c>
    </row>
    <row r="30" spans="1:11" x14ac:dyDescent="0.3">
      <c r="B30" s="131" t="str">
        <f>'IG raw Data'!B30</f>
        <v>Intangible Assets</v>
      </c>
      <c r="C30" s="131"/>
      <c r="D30" s="131"/>
      <c r="E30" s="131"/>
      <c r="F30" s="131"/>
      <c r="G30" s="120">
        <f>'IG raw Data'!H30</f>
        <v>6289</v>
      </c>
      <c r="H30" s="120">
        <f>'IG raw Data'!I30</f>
        <v>6229</v>
      </c>
      <c r="I30" s="120">
        <f>'IG raw Data'!J30</f>
        <v>7572</v>
      </c>
      <c r="J30" s="120">
        <f>'IG raw Data'!K30</f>
        <v>7772</v>
      </c>
      <c r="K30" s="120">
        <f>'IG raw Data'!L30</f>
        <v>7896</v>
      </c>
    </row>
    <row r="31" spans="1:11" x14ac:dyDescent="0.3">
      <c r="B31" s="131" t="str">
        <f>'IG raw Data'!B31</f>
        <v>Other fixed assets</v>
      </c>
      <c r="C31" s="131"/>
      <c r="D31" s="131"/>
      <c r="E31" s="131"/>
      <c r="F31" s="131"/>
      <c r="G31" s="120">
        <f>'IG raw Data'!H31</f>
        <v>5171</v>
      </c>
      <c r="H31" s="120">
        <f>'IG raw Data'!I31</f>
        <v>10953</v>
      </c>
      <c r="I31" s="120">
        <f>'IG raw Data'!J31</f>
        <v>20384</v>
      </c>
      <c r="J31" s="120">
        <f>'IG raw Data'!K31</f>
        <v>20546</v>
      </c>
      <c r="K31" s="120">
        <f>'IG raw Data'!L31</f>
        <v>20881</v>
      </c>
    </row>
    <row r="33" spans="1:11" x14ac:dyDescent="0.3">
      <c r="B33" s="123" t="s">
        <v>279</v>
      </c>
      <c r="C33" s="129"/>
      <c r="D33" s="129"/>
      <c r="E33" s="129"/>
      <c r="F33" s="129"/>
      <c r="G33" s="130">
        <f>'IG raw Data'!H32</f>
        <v>217939</v>
      </c>
      <c r="H33" s="130">
        <f>'IG raw Data'!I32</f>
        <v>221752</v>
      </c>
      <c r="I33" s="130">
        <f>'IG raw Data'!J32</f>
        <v>245395</v>
      </c>
      <c r="J33" s="130">
        <f>'IG raw Data'!K32</f>
        <v>259572</v>
      </c>
      <c r="K33" s="130">
        <f>'IG raw Data'!L32</f>
        <v>273028</v>
      </c>
    </row>
    <row r="34" spans="1:11" x14ac:dyDescent="0.3">
      <c r="B34" s="131" t="s">
        <v>280</v>
      </c>
      <c r="C34" s="131"/>
      <c r="D34" s="131"/>
      <c r="E34" s="131"/>
      <c r="F34" s="131"/>
      <c r="G34" s="120">
        <f>'IG raw Data'!H33</f>
        <v>82164</v>
      </c>
      <c r="H34" s="120">
        <f>'IG raw Data'!I33</f>
        <v>88464</v>
      </c>
      <c r="I34" s="120">
        <f>'IG raw Data'!J33</f>
        <v>98773</v>
      </c>
      <c r="J34" s="120">
        <f>'IG raw Data'!K33</f>
        <v>110758</v>
      </c>
      <c r="K34" s="120">
        <f>'IG raw Data'!L33</f>
        <v>122114</v>
      </c>
    </row>
    <row r="35" spans="1:11" x14ac:dyDescent="0.3">
      <c r="G35" s="119"/>
      <c r="H35" s="119"/>
      <c r="I35" s="119"/>
      <c r="J35" s="119"/>
      <c r="K35" s="119"/>
    </row>
    <row r="36" spans="1:11" ht="15" thickBot="1" x14ac:dyDescent="0.35">
      <c r="A36" t="s">
        <v>56</v>
      </c>
      <c r="B36" s="134" t="s">
        <v>297</v>
      </c>
      <c r="C36" s="134"/>
      <c r="D36" s="134"/>
      <c r="E36" s="134"/>
      <c r="F36" s="134"/>
      <c r="G36" s="137">
        <f>SUM(G33:G34)</f>
        <v>300103</v>
      </c>
      <c r="H36" s="137">
        <f t="shared" ref="H36:K36" si="4">SUM(H33:H34)</f>
        <v>310216</v>
      </c>
      <c r="I36" s="137">
        <f t="shared" si="4"/>
        <v>344168</v>
      </c>
      <c r="J36" s="137">
        <f t="shared" si="4"/>
        <v>370330</v>
      </c>
      <c r="K36" s="137">
        <f t="shared" si="4"/>
        <v>395142</v>
      </c>
    </row>
    <row r="37" spans="1:11" ht="15" thickTop="1" x14ac:dyDescent="0.3"/>
    <row r="38" spans="1:11" x14ac:dyDescent="0.3">
      <c r="A38" t="s">
        <v>56</v>
      </c>
      <c r="B38" s="21" t="s">
        <v>298</v>
      </c>
      <c r="C38" s="21"/>
      <c r="D38" s="21"/>
      <c r="E38" s="21"/>
      <c r="F38" s="21"/>
      <c r="G38" s="143">
        <f>G36+G20</f>
        <v>300648</v>
      </c>
      <c r="H38" s="143">
        <f t="shared" ref="H38:K38" si="5">H36+H20</f>
        <v>334402</v>
      </c>
      <c r="I38" s="143">
        <f t="shared" si="5"/>
        <v>347990</v>
      </c>
      <c r="J38" s="143">
        <f t="shared" si="5"/>
        <v>360418</v>
      </c>
      <c r="K38" s="143">
        <f t="shared" si="5"/>
        <v>382566</v>
      </c>
    </row>
    <row r="39" spans="1:11" x14ac:dyDescent="0.3">
      <c r="B39" s="21" t="s">
        <v>154</v>
      </c>
      <c r="C39" s="131"/>
      <c r="D39" s="131"/>
      <c r="E39" s="131"/>
      <c r="F39" s="131"/>
      <c r="G39" s="121">
        <f>'HISTORICAL(FS)'!H19-'HISTORICAL(FS)'!H25</f>
        <v>21270.619999999988</v>
      </c>
      <c r="H39" s="121">
        <f>'HISTORICAL(FS)'!I19-'HISTORICAL(FS)'!I25</f>
        <v>54389.080000000009</v>
      </c>
      <c r="I39" s="121">
        <f>'HISTORICAL(FS)'!J19-'HISTORICAL(FS)'!J25</f>
        <v>22964.960000000017</v>
      </c>
      <c r="J39" s="121">
        <f>'HISTORICAL(FS)'!K19-'HISTORICAL(FS)'!K25</f>
        <v>12365.760000000002</v>
      </c>
      <c r="K39" s="121">
        <f>'HISTORICAL(FS)'!L19-'HISTORICAL(FS)'!L25</f>
        <v>14877.11999999999</v>
      </c>
    </row>
    <row r="41" spans="1:11" ht="15" thickBot="1" x14ac:dyDescent="0.35">
      <c r="A41" t="s">
        <v>56</v>
      </c>
      <c r="B41" s="134" t="s">
        <v>299</v>
      </c>
      <c r="C41" s="135"/>
      <c r="D41" s="135"/>
      <c r="E41" s="135"/>
      <c r="F41" s="135"/>
      <c r="G41" s="139">
        <f>G39/G38</f>
        <v>7.0749248290359446E-2</v>
      </c>
      <c r="H41" s="139">
        <f>H39/H38</f>
        <v>0.16264579757298106</v>
      </c>
      <c r="I41" s="139">
        <f>I39/I38</f>
        <v>6.5993160723009328E-2</v>
      </c>
      <c r="J41" s="139">
        <f>J39/J38</f>
        <v>3.4309496196083443E-2</v>
      </c>
      <c r="K41" s="139">
        <f>K39/K38</f>
        <v>3.8887721334357965E-2</v>
      </c>
    </row>
    <row r="42" spans="1:11" ht="15" thickTop="1" x14ac:dyDescent="0.3"/>
    <row r="43" spans="1:11" x14ac:dyDescent="0.3">
      <c r="A43" t="s">
        <v>56</v>
      </c>
      <c r="B43" s="102" t="s">
        <v>300</v>
      </c>
      <c r="C43" s="102"/>
      <c r="D43" s="102"/>
      <c r="E43" s="102"/>
      <c r="F43" s="102"/>
      <c r="G43" s="113">
        <v>44256</v>
      </c>
      <c r="H43" s="113">
        <v>44621</v>
      </c>
      <c r="I43" s="113">
        <v>44986</v>
      </c>
      <c r="J43" s="113">
        <v>45352</v>
      </c>
      <c r="K43" s="113">
        <v>45717</v>
      </c>
    </row>
    <row r="45" spans="1:11" x14ac:dyDescent="0.3">
      <c r="B45" s="131" t="s">
        <v>301</v>
      </c>
      <c r="C45" s="131"/>
      <c r="D45" s="131"/>
      <c r="E45" s="131"/>
      <c r="F45" s="131"/>
      <c r="G45" s="120">
        <f>-SUM('IG raw Data'!H62:H63)</f>
        <v>6534</v>
      </c>
      <c r="H45" s="120">
        <f>-SUM('IG raw Data'!I62:I63)</f>
        <v>9953</v>
      </c>
      <c r="I45" s="120">
        <f>-SUM('IG raw Data'!J62:J63)</f>
        <v>13814</v>
      </c>
      <c r="J45" s="120">
        <f>-SUM('IG raw Data'!K62:K63)</f>
        <v>17732</v>
      </c>
      <c r="K45" s="120">
        <f>-SUM('IG raw Data'!L62:L63)</f>
        <v>14407</v>
      </c>
    </row>
    <row r="46" spans="1:11" x14ac:dyDescent="0.3">
      <c r="B46" s="131" t="s">
        <v>302</v>
      </c>
      <c r="C46" s="131"/>
      <c r="D46" s="131"/>
      <c r="E46" s="131"/>
      <c r="F46" s="131"/>
      <c r="G46" s="131"/>
      <c r="H46" s="120">
        <f>H20-G20</f>
        <v>23641</v>
      </c>
      <c r="I46" s="120">
        <f t="shared" ref="I46:K46" si="6">I20-H20</f>
        <v>-20364</v>
      </c>
      <c r="J46" s="120">
        <f t="shared" si="6"/>
        <v>-13734</v>
      </c>
      <c r="K46" s="120">
        <f t="shared" si="6"/>
        <v>-2664</v>
      </c>
    </row>
    <row r="48" spans="1:11" x14ac:dyDescent="0.3">
      <c r="B48" s="131" t="s">
        <v>154</v>
      </c>
      <c r="C48" s="131"/>
      <c r="D48" s="131"/>
      <c r="E48" s="131"/>
      <c r="F48" s="131"/>
      <c r="G48" s="120">
        <f>G39</f>
        <v>21270.619999999988</v>
      </c>
      <c r="H48" s="120">
        <f t="shared" ref="H48:K48" si="7">H39</f>
        <v>54389.080000000009</v>
      </c>
      <c r="I48" s="120">
        <f t="shared" si="7"/>
        <v>22964.960000000017</v>
      </c>
      <c r="J48" s="120">
        <f t="shared" si="7"/>
        <v>12365.760000000002</v>
      </c>
      <c r="K48" s="120">
        <f t="shared" si="7"/>
        <v>14877.11999999999</v>
      </c>
    </row>
    <row r="49" spans="1:11" x14ac:dyDescent="0.3">
      <c r="B49" s="131" t="s">
        <v>303</v>
      </c>
      <c r="C49" s="131"/>
      <c r="D49" s="131"/>
      <c r="E49" s="131"/>
      <c r="F49" s="131"/>
      <c r="G49" s="140">
        <v>0.25</v>
      </c>
      <c r="H49" s="140">
        <v>0.25</v>
      </c>
      <c r="I49" s="140">
        <v>0.25</v>
      </c>
      <c r="J49" s="140">
        <v>0.25</v>
      </c>
      <c r="K49" s="140">
        <v>0.25</v>
      </c>
    </row>
    <row r="50" spans="1:11" x14ac:dyDescent="0.3">
      <c r="B50" s="131" t="s">
        <v>306</v>
      </c>
      <c r="C50" s="131"/>
      <c r="D50" s="131"/>
      <c r="E50" s="131"/>
      <c r="F50" s="131"/>
      <c r="G50" s="120">
        <f>G48*(1-G49)</f>
        <v>15952.964999999991</v>
      </c>
      <c r="H50" s="120">
        <f t="shared" ref="H50:K50" si="8">H48*(1-H49)</f>
        <v>40791.810000000005</v>
      </c>
      <c r="I50" s="120">
        <f t="shared" si="8"/>
        <v>17223.720000000012</v>
      </c>
      <c r="J50" s="120">
        <f t="shared" si="8"/>
        <v>9274.3200000000015</v>
      </c>
      <c r="K50" s="120">
        <f t="shared" si="8"/>
        <v>11157.839999999993</v>
      </c>
    </row>
    <row r="52" spans="1:11" x14ac:dyDescent="0.3">
      <c r="B52" s="131" t="s">
        <v>304</v>
      </c>
      <c r="C52" s="131"/>
      <c r="D52" s="131"/>
      <c r="E52" s="131"/>
      <c r="F52" s="131"/>
      <c r="G52" s="131"/>
      <c r="H52" s="120">
        <f>SUM(H45:H46)</f>
        <v>33594</v>
      </c>
      <c r="I52" s="120">
        <f t="shared" ref="I52:K52" si="9">SUM(I45:I46)</f>
        <v>-6550</v>
      </c>
      <c r="J52" s="120">
        <f t="shared" si="9"/>
        <v>3998</v>
      </c>
      <c r="K52" s="120">
        <f t="shared" si="9"/>
        <v>11743</v>
      </c>
    </row>
    <row r="53" spans="1:11" ht="6" customHeight="1" x14ac:dyDescent="0.3">
      <c r="H53" s="119"/>
      <c r="I53" s="119"/>
      <c r="J53" s="119"/>
      <c r="K53" s="119"/>
    </row>
    <row r="54" spans="1:11" ht="15" thickBot="1" x14ac:dyDescent="0.35">
      <c r="B54" s="134" t="s">
        <v>305</v>
      </c>
      <c r="C54" s="134"/>
      <c r="D54" s="134"/>
      <c r="E54" s="134"/>
      <c r="F54" s="134"/>
      <c r="G54" s="134"/>
      <c r="H54" s="139">
        <f>H52/H50</f>
        <v>0.82354766802453716</v>
      </c>
      <c r="I54" s="139">
        <f t="shared" ref="I54:K54" si="10">I52/I50</f>
        <v>-0.38028950772539238</v>
      </c>
      <c r="J54" s="139">
        <f t="shared" si="10"/>
        <v>0.43108281793166497</v>
      </c>
      <c r="K54" s="139">
        <f t="shared" si="10"/>
        <v>1.0524438421773397</v>
      </c>
    </row>
    <row r="55" spans="1:11" ht="15" thickTop="1" x14ac:dyDescent="0.3"/>
    <row r="56" spans="1:11" x14ac:dyDescent="0.3">
      <c r="J56" s="106" t="s">
        <v>307</v>
      </c>
      <c r="K56" s="107">
        <f>AVERAGE(H54:K54)</f>
        <v>0.48169620510203737</v>
      </c>
    </row>
    <row r="57" spans="1:11" x14ac:dyDescent="0.3">
      <c r="J57" s="106" t="s">
        <v>308</v>
      </c>
      <c r="K57" s="107">
        <f>MEDIAN(H54:K54)</f>
        <v>0.62731524297810104</v>
      </c>
    </row>
    <row r="59" spans="1:11" x14ac:dyDescent="0.3">
      <c r="A59" t="s">
        <v>56</v>
      </c>
      <c r="B59" s="102" t="s">
        <v>309</v>
      </c>
      <c r="C59" s="102"/>
      <c r="D59" s="102"/>
      <c r="E59" s="102"/>
      <c r="F59" s="102"/>
      <c r="G59" s="113">
        <v>44256</v>
      </c>
      <c r="H59" s="113">
        <v>44621</v>
      </c>
      <c r="I59" s="113">
        <v>44986</v>
      </c>
      <c r="J59" s="113">
        <v>45352</v>
      </c>
      <c r="K59" s="113">
        <v>45717</v>
      </c>
    </row>
    <row r="61" spans="1:11" x14ac:dyDescent="0.3">
      <c r="B61" s="131" t="s">
        <v>305</v>
      </c>
      <c r="C61" s="131"/>
      <c r="D61" s="131"/>
      <c r="E61" s="131"/>
      <c r="F61" s="131"/>
      <c r="G61" s="131"/>
      <c r="H61" s="141">
        <f>H54</f>
        <v>0.82354766802453716</v>
      </c>
      <c r="I61" s="141">
        <f t="shared" ref="I61:K61" si="11">I54</f>
        <v>-0.38028950772539238</v>
      </c>
      <c r="J61" s="141">
        <f t="shared" si="11"/>
        <v>0.43108281793166497</v>
      </c>
      <c r="K61" s="141">
        <f t="shared" si="11"/>
        <v>1.0524438421773397</v>
      </c>
    </row>
    <row r="62" spans="1:11" x14ac:dyDescent="0.3">
      <c r="B62" s="131" t="s">
        <v>299</v>
      </c>
      <c r="C62" s="131"/>
      <c r="D62" s="131"/>
      <c r="E62" s="131"/>
      <c r="F62" s="131"/>
      <c r="G62" s="131"/>
      <c r="H62" s="141">
        <f>H41</f>
        <v>0.16264579757298106</v>
      </c>
      <c r="I62" s="141">
        <f t="shared" ref="I62:K62" si="12">I41</f>
        <v>6.5993160723009328E-2</v>
      </c>
      <c r="J62" s="141">
        <f t="shared" si="12"/>
        <v>3.4309496196083443E-2</v>
      </c>
      <c r="K62" s="141">
        <f t="shared" si="12"/>
        <v>3.8887721334357965E-2</v>
      </c>
    </row>
    <row r="63" spans="1:11" ht="6" customHeight="1" x14ac:dyDescent="0.3"/>
    <row r="64" spans="1:11" ht="15" thickBot="1" x14ac:dyDescent="0.35">
      <c r="B64" s="134" t="s">
        <v>310</v>
      </c>
      <c r="C64" s="134"/>
      <c r="D64" s="134"/>
      <c r="E64" s="134"/>
      <c r="F64" s="134"/>
      <c r="G64" s="134"/>
      <c r="H64" s="142">
        <f>H61*H62</f>
        <v>0.13394656730521948</v>
      </c>
      <c r="I64" s="142">
        <f t="shared" ref="I64:K64" si="13">I61*I62</f>
        <v>-2.5096506604595916E-2</v>
      </c>
      <c r="J64" s="142">
        <f t="shared" si="13"/>
        <v>1.479023430202339E-2</v>
      </c>
      <c r="K64" s="142">
        <f t="shared" si="13"/>
        <v>4.0927142854653396E-2</v>
      </c>
    </row>
    <row r="65" spans="10:11" ht="15" thickTop="1" x14ac:dyDescent="0.3"/>
    <row r="66" spans="10:11" x14ac:dyDescent="0.3">
      <c r="J66" s="106" t="s">
        <v>307</v>
      </c>
      <c r="K66" s="107">
        <f>AVERAGE(H64:K64)</f>
        <v>4.1141859464325088E-2</v>
      </c>
    </row>
    <row r="67" spans="10:11" x14ac:dyDescent="0.3">
      <c r="J67" s="106" t="s">
        <v>308</v>
      </c>
      <c r="K67" s="107">
        <f>MEDIAN(H64:K64)</f>
        <v>2.7858688578338391E-2</v>
      </c>
    </row>
  </sheetData>
  <mergeCells count="1">
    <mergeCell ref="B2:K2"/>
  </mergeCells>
  <pageMargins left="0.7" right="0.7" top="0.75" bottom="0.75" header="0.3" footer="0.3"/>
  <pageSetup scale="70" orientation="portrait" r:id="rId1"/>
  <ignoredErrors>
    <ignoredError sqref="G45:K4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19804-40FE-4725-AC6F-FD3E45322F93}">
  <sheetPr>
    <pageSetUpPr fitToPage="1"/>
  </sheetPr>
  <dimension ref="B2:R43"/>
  <sheetViews>
    <sheetView showGridLines="0" topLeftCell="A5" zoomScale="70" zoomScaleNormal="70" workbookViewId="0">
      <selection activeCell="P31" sqref="P31"/>
    </sheetView>
  </sheetViews>
  <sheetFormatPr defaultRowHeight="14.4" x14ac:dyDescent="0.3"/>
  <cols>
    <col min="1" max="1" width="1.88671875" customWidth="1"/>
    <col min="2" max="2" width="22.109375" bestFit="1" customWidth="1"/>
    <col min="4" max="5" width="11.109375" customWidth="1"/>
    <col min="6" max="6" width="9.21875" bestFit="1" customWidth="1"/>
    <col min="7" max="11" width="8.6640625" bestFit="1" customWidth="1"/>
    <col min="12" max="12" width="8.6640625" customWidth="1"/>
    <col min="14" max="14" width="8.109375" customWidth="1"/>
    <col min="15" max="15" width="11.44140625" customWidth="1"/>
    <col min="16" max="16" width="10.6640625" customWidth="1"/>
    <col min="17" max="17" width="11.109375" customWidth="1"/>
    <col min="18" max="18" width="12.33203125" customWidth="1"/>
  </cols>
  <sheetData>
    <row r="2" spans="2:12" x14ac:dyDescent="0.3">
      <c r="B2" s="213" t="s">
        <v>33</v>
      </c>
      <c r="C2" s="213"/>
      <c r="D2" s="213"/>
      <c r="E2" s="213"/>
      <c r="F2" s="213"/>
      <c r="G2" s="213"/>
      <c r="H2" s="213"/>
      <c r="I2" s="213"/>
      <c r="J2" s="213"/>
      <c r="K2" s="213"/>
      <c r="L2" s="52"/>
    </row>
    <row r="4" spans="2:12" x14ac:dyDescent="0.3">
      <c r="B4" s="102" t="s">
        <v>311</v>
      </c>
      <c r="C4" s="102"/>
      <c r="D4" s="102"/>
      <c r="E4" s="102"/>
      <c r="F4" s="113" t="s">
        <v>312</v>
      </c>
      <c r="G4" s="113" t="s">
        <v>313</v>
      </c>
      <c r="H4" s="102" t="s">
        <v>314</v>
      </c>
      <c r="I4" s="102" t="s">
        <v>315</v>
      </c>
      <c r="J4" s="102" t="s">
        <v>316</v>
      </c>
      <c r="K4" s="102" t="s">
        <v>317</v>
      </c>
      <c r="L4" s="102"/>
    </row>
    <row r="6" spans="2:12" x14ac:dyDescent="0.3">
      <c r="B6" s="131" t="s">
        <v>154</v>
      </c>
      <c r="C6" s="131"/>
      <c r="D6" s="131"/>
      <c r="E6" s="131"/>
      <c r="F6" s="155">
        <f>'Intrinsic growth'!K39</f>
        <v>14877.11999999999</v>
      </c>
      <c r="G6" s="156">
        <f>F6*(1+$D$16)</f>
        <v>15583.783199999991</v>
      </c>
      <c r="H6" s="156">
        <f>G6*(1+$D$16)</f>
        <v>16324.012901999991</v>
      </c>
      <c r="I6" s="156">
        <f>H6*(1+$D$16)</f>
        <v>17099.403514844991</v>
      </c>
      <c r="J6" s="156">
        <f>I6*(1+$D$16)</f>
        <v>17911.625181800129</v>
      </c>
      <c r="K6" s="156">
        <f>J6*(1+$D$16)</f>
        <v>18762.427377935637</v>
      </c>
      <c r="L6" s="60"/>
    </row>
    <row r="7" spans="2:12" x14ac:dyDescent="0.3">
      <c r="B7" s="131" t="s">
        <v>175</v>
      </c>
      <c r="C7" s="131"/>
      <c r="D7" s="131"/>
      <c r="E7" s="131"/>
      <c r="F7" s="157">
        <v>0.25</v>
      </c>
      <c r="G7" s="156">
        <f>F7</f>
        <v>0.25</v>
      </c>
      <c r="H7" s="156">
        <f t="shared" ref="H7:K7" si="0">G7</f>
        <v>0.25</v>
      </c>
      <c r="I7" s="156">
        <f t="shared" si="0"/>
        <v>0.25</v>
      </c>
      <c r="J7" s="156">
        <f t="shared" si="0"/>
        <v>0.25</v>
      </c>
      <c r="K7" s="156">
        <f t="shared" si="0"/>
        <v>0.25</v>
      </c>
      <c r="L7" s="60"/>
    </row>
    <row r="8" spans="2:12" x14ac:dyDescent="0.3">
      <c r="B8" s="131" t="s">
        <v>306</v>
      </c>
      <c r="C8" s="131"/>
      <c r="D8" s="131"/>
      <c r="E8" s="131"/>
      <c r="F8" s="155">
        <f t="shared" ref="F8:K8" si="1">F6*(1-F7)</f>
        <v>11157.839999999993</v>
      </c>
      <c r="G8" s="156">
        <f t="shared" si="1"/>
        <v>11687.837399999993</v>
      </c>
      <c r="H8" s="156">
        <f t="shared" si="1"/>
        <v>12243.009676499994</v>
      </c>
      <c r="I8" s="156">
        <f t="shared" si="1"/>
        <v>12824.552636133743</v>
      </c>
      <c r="J8" s="156">
        <f t="shared" si="1"/>
        <v>13433.718886350096</v>
      </c>
      <c r="K8" s="156">
        <f t="shared" si="1"/>
        <v>14071.820533451728</v>
      </c>
      <c r="L8" s="60"/>
    </row>
    <row r="9" spans="2:12" x14ac:dyDescent="0.3">
      <c r="B9" s="131" t="s">
        <v>318</v>
      </c>
      <c r="C9" s="131"/>
      <c r="D9" s="131"/>
      <c r="E9" s="131"/>
      <c r="F9" s="147">
        <f>'Intrinsic growth'!K57</f>
        <v>0.62731524297810104</v>
      </c>
      <c r="G9" s="141">
        <f>F9+(($K$9-$F$9)/4)</f>
        <v>0.6361614322335758</v>
      </c>
      <c r="H9" s="141">
        <f t="shared" ref="H9:J9" si="2">G9+(($K$9-$F$9)/4)</f>
        <v>0.64500762148905055</v>
      </c>
      <c r="I9" s="141">
        <f t="shared" si="2"/>
        <v>0.65385381074452531</v>
      </c>
      <c r="J9" s="141">
        <f t="shared" si="2"/>
        <v>0.66270000000000007</v>
      </c>
      <c r="K9" s="140">
        <v>0.66269999999999996</v>
      </c>
      <c r="L9" s="73"/>
    </row>
    <row r="10" spans="2:12" x14ac:dyDescent="0.3">
      <c r="B10" s="131" t="s">
        <v>319</v>
      </c>
      <c r="C10" s="131"/>
      <c r="D10" s="131"/>
      <c r="E10" s="131"/>
      <c r="F10" s="155">
        <f t="shared" ref="F10:K10" si="3">F8*(1-F9)</f>
        <v>4158.3568892892226</v>
      </c>
      <c r="G10" s="156">
        <f t="shared" si="3"/>
        <v>4252.4860199028444</v>
      </c>
      <c r="H10" s="156">
        <f t="shared" si="3"/>
        <v>4346.1751251933028</v>
      </c>
      <c r="I10" s="156">
        <f t="shared" si="3"/>
        <v>4439.1700239039474</v>
      </c>
      <c r="J10" s="156">
        <f t="shared" si="3"/>
        <v>4531.1933803658867</v>
      </c>
      <c r="K10" s="156">
        <f t="shared" si="3"/>
        <v>4746.4250659332683</v>
      </c>
      <c r="L10" s="60"/>
    </row>
    <row r="11" spans="2:12" x14ac:dyDescent="0.3">
      <c r="B11" s="131" t="s">
        <v>320</v>
      </c>
      <c r="C11" s="131"/>
      <c r="D11" s="131"/>
      <c r="E11" s="131"/>
      <c r="F11" s="146"/>
      <c r="G11" s="145">
        <v>0.5</v>
      </c>
      <c r="H11" s="131">
        <f>G11+1</f>
        <v>1.5</v>
      </c>
      <c r="I11" s="131">
        <f t="shared" ref="I11:K11" si="4">H11+1</f>
        <v>2.5</v>
      </c>
      <c r="J11" s="131">
        <f t="shared" si="4"/>
        <v>3.5</v>
      </c>
      <c r="K11" s="131">
        <f t="shared" si="4"/>
        <v>4.5</v>
      </c>
    </row>
    <row r="12" spans="2:12" x14ac:dyDescent="0.3">
      <c r="B12" s="131" t="s">
        <v>321</v>
      </c>
      <c r="C12" s="131"/>
      <c r="D12" s="131"/>
      <c r="E12" s="131"/>
      <c r="F12" s="146"/>
      <c r="G12" s="150">
        <f>1/(1+$D$18)^G11</f>
        <v>0.9349080145182419</v>
      </c>
      <c r="H12" s="150">
        <f t="shared" ref="H12:K12" si="5">1/(1+$D$18)^H11</f>
        <v>0.81715915070987932</v>
      </c>
      <c r="I12" s="150">
        <f t="shared" si="5"/>
        <v>0.71424040356845386</v>
      </c>
      <c r="J12" s="150">
        <f t="shared" si="5"/>
        <v>0.62428396432501765</v>
      </c>
      <c r="K12" s="150">
        <f t="shared" si="5"/>
        <v>0.54565726912984347</v>
      </c>
      <c r="L12" s="199"/>
    </row>
    <row r="13" spans="2:12" ht="6.6" customHeight="1" x14ac:dyDescent="0.3">
      <c r="F13" s="148"/>
    </row>
    <row r="14" spans="2:12" ht="15" thickBot="1" x14ac:dyDescent="0.35">
      <c r="B14" s="134" t="s">
        <v>322</v>
      </c>
      <c r="C14" s="135"/>
      <c r="D14" s="135"/>
      <c r="E14" s="135"/>
      <c r="F14" s="149"/>
      <c r="G14" s="134">
        <f>G10*G12</f>
        <v>3975.6832616339493</v>
      </c>
      <c r="H14" s="134">
        <f t="shared" ref="H14:K14" si="6">H10*H12</f>
        <v>3551.516774139363</v>
      </c>
      <c r="I14" s="134">
        <f t="shared" si="6"/>
        <v>3170.6345893821385</v>
      </c>
      <c r="J14" s="134">
        <f t="shared" si="6"/>
        <v>2828.7513666180935</v>
      </c>
      <c r="K14" s="134">
        <f t="shared" si="6"/>
        <v>2589.9213396065843</v>
      </c>
      <c r="L14" s="2"/>
    </row>
    <row r="15" spans="2:12" ht="15" thickTop="1" x14ac:dyDescent="0.3"/>
    <row r="16" spans="2:12" x14ac:dyDescent="0.3">
      <c r="B16" s="97" t="s">
        <v>323</v>
      </c>
      <c r="C16" s="97"/>
      <c r="D16" s="105">
        <v>4.7500000000000001E-2</v>
      </c>
    </row>
    <row r="17" spans="2:18" x14ac:dyDescent="0.3">
      <c r="B17" s="97" t="s">
        <v>324</v>
      </c>
      <c r="C17" s="97"/>
      <c r="D17" s="105">
        <v>6.5000000000000002E-2</v>
      </c>
    </row>
    <row r="18" spans="2:18" x14ac:dyDescent="0.3">
      <c r="B18" s="97" t="s">
        <v>251</v>
      </c>
      <c r="C18" s="97"/>
      <c r="D18" s="105">
        <f>'DCF Modelling(WACC)'!L49</f>
        <v>0.14409538668945004</v>
      </c>
    </row>
    <row r="21" spans="2:18" x14ac:dyDescent="0.3">
      <c r="B21" s="102" t="s">
        <v>325</v>
      </c>
      <c r="C21" s="102"/>
      <c r="D21" s="102"/>
    </row>
    <row r="23" spans="2:18" x14ac:dyDescent="0.3">
      <c r="B23" t="s">
        <v>326</v>
      </c>
      <c r="D23" s="60">
        <f>K10*(1+D16)</f>
        <v>4971.8802565650994</v>
      </c>
      <c r="E23" s="60"/>
    </row>
    <row r="24" spans="2:18" x14ac:dyDescent="0.3">
      <c r="B24" t="s">
        <v>251</v>
      </c>
      <c r="D24" s="71">
        <f>D18</f>
        <v>0.14409538668945004</v>
      </c>
      <c r="E24" s="71"/>
    </row>
    <row r="25" spans="2:18" x14ac:dyDescent="0.3">
      <c r="B25" t="s">
        <v>327</v>
      </c>
      <c r="D25" s="71">
        <f>D17</f>
        <v>6.5000000000000002E-2</v>
      </c>
      <c r="E25" s="71"/>
      <c r="G25" s="102" t="s">
        <v>385</v>
      </c>
      <c r="H25" s="102"/>
      <c r="I25" s="102"/>
      <c r="J25" s="102"/>
      <c r="K25" s="102"/>
      <c r="L25" s="102"/>
      <c r="N25" s="102" t="s">
        <v>399</v>
      </c>
      <c r="O25" s="102"/>
      <c r="P25" s="102"/>
      <c r="Q25" s="102"/>
      <c r="R25" s="108"/>
    </row>
    <row r="26" spans="2:18" ht="7.2" customHeight="1" x14ac:dyDescent="0.3"/>
    <row r="27" spans="2:18" ht="15" thickBot="1" x14ac:dyDescent="0.35">
      <c r="B27" s="134" t="s">
        <v>328</v>
      </c>
      <c r="C27" s="134"/>
      <c r="D27" s="201">
        <f>D23/(D24-D25)</f>
        <v>62859.295145569624</v>
      </c>
      <c r="E27" s="2"/>
    </row>
    <row r="28" spans="2:18" ht="15" thickTop="1" x14ac:dyDescent="0.3">
      <c r="G28" s="179"/>
      <c r="H28" s="179"/>
      <c r="I28" s="179" t="s">
        <v>251</v>
      </c>
      <c r="J28" s="179"/>
      <c r="K28" s="179"/>
      <c r="N28" s="179"/>
      <c r="O28" s="179"/>
      <c r="P28" s="179" t="s">
        <v>251</v>
      </c>
      <c r="Q28" s="179"/>
      <c r="R28" s="179"/>
    </row>
    <row r="29" spans="2:18" x14ac:dyDescent="0.3">
      <c r="B29" s="102" t="s">
        <v>333</v>
      </c>
      <c r="C29" s="102"/>
      <c r="D29" s="102"/>
    </row>
    <row r="30" spans="2:18" x14ac:dyDescent="0.3">
      <c r="G30" s="176">
        <f>D33</f>
        <v>50416.138659938471</v>
      </c>
      <c r="H30" s="103">
        <v>0.1452</v>
      </c>
      <c r="I30" s="103">
        <v>0.14410000000000001</v>
      </c>
      <c r="J30" s="103">
        <v>0.16750000000000001</v>
      </c>
      <c r="K30" s="103">
        <v>0.1832</v>
      </c>
      <c r="L30" s="103"/>
      <c r="N30" s="200">
        <f>D40</f>
        <v>21.546875525933068</v>
      </c>
      <c r="O30" s="112">
        <v>0.1452</v>
      </c>
      <c r="P30" s="112">
        <v>0.14410000000000001</v>
      </c>
      <c r="Q30" s="112">
        <v>0.16750000000000001</v>
      </c>
      <c r="R30" s="112">
        <v>0.1832</v>
      </c>
    </row>
    <row r="31" spans="2:18" x14ac:dyDescent="0.3">
      <c r="B31" t="s">
        <v>322</v>
      </c>
      <c r="D31" s="60">
        <f>SUM(G14:K14)</f>
        <v>16116.507331380128</v>
      </c>
      <c r="E31" s="60"/>
      <c r="F31" s="180" t="s">
        <v>386</v>
      </c>
      <c r="G31" s="177">
        <v>5.5E-2</v>
      </c>
      <c r="H31" s="60">
        <f t="dataTable" ref="H31:K34" dt2D="1" dtr="1" r1="D24" r2="D25"/>
        <v>46193.476325148396</v>
      </c>
      <c r="I31" s="60">
        <v>46564.796930009725</v>
      </c>
      <c r="J31" s="60">
        <v>40231.55269349477</v>
      </c>
      <c r="K31" s="60">
        <v>37278.306108586818</v>
      </c>
      <c r="L31" s="60"/>
      <c r="M31" s="180" t="s">
        <v>386</v>
      </c>
      <c r="N31" s="178">
        <v>5.5E-2</v>
      </c>
      <c r="O31" s="60">
        <f t="dataTable" ref="O31:R34" dt2D="1" dtr="1" r1="D24" r2="D25" ca="1"/>
        <v>24.929113400060633</v>
      </c>
      <c r="P31" s="60">
        <v>24.631695677867036</v>
      </c>
      <c r="Q31" s="60">
        <v>29.704452347601066</v>
      </c>
      <c r="R31" s="60">
        <v>32.06992267394439</v>
      </c>
    </row>
    <row r="32" spans="2:18" x14ac:dyDescent="0.3">
      <c r="B32" t="s">
        <v>329</v>
      </c>
      <c r="D32" s="60">
        <f>D27*K12</f>
        <v>34299.631328558346</v>
      </c>
      <c r="E32" s="60"/>
      <c r="F32" s="180" t="s">
        <v>387</v>
      </c>
      <c r="G32" s="177">
        <v>6.5000000000000002E-2</v>
      </c>
      <c r="H32" s="60">
        <v>49943.721835593315</v>
      </c>
      <c r="I32" s="63">
        <v>50414.138219343433</v>
      </c>
      <c r="J32" s="60">
        <v>42584.2400458962</v>
      </c>
      <c r="K32" s="60">
        <v>39068.644414611073</v>
      </c>
      <c r="L32" s="60"/>
      <c r="M32" s="180" t="s">
        <v>387</v>
      </c>
      <c r="N32" s="178">
        <v>6.5000000000000002E-2</v>
      </c>
      <c r="O32" s="60">
        <v>21.925268574913311</v>
      </c>
      <c r="P32" s="63">
        <v>21.548477824532629</v>
      </c>
      <c r="Q32" s="60">
        <v>27.820013659782415</v>
      </c>
      <c r="R32" s="60">
        <v>30.635910303064719</v>
      </c>
    </row>
    <row r="33" spans="2:18" x14ac:dyDescent="0.3">
      <c r="B33" s="2" t="s">
        <v>330</v>
      </c>
      <c r="D33" s="138">
        <f>SUM(D31:D32)</f>
        <v>50416.138659938471</v>
      </c>
      <c r="E33" s="138"/>
      <c r="F33" s="180" t="s">
        <v>388</v>
      </c>
      <c r="G33" s="178">
        <v>7.0000000000000007E-2</v>
      </c>
      <c r="H33" s="60">
        <v>52192.871736139408</v>
      </c>
      <c r="I33" s="60">
        <v>52728.41830625054</v>
      </c>
      <c r="J33" s="60">
        <v>43941.559672281641</v>
      </c>
      <c r="K33" s="60">
        <v>40082.431388252015</v>
      </c>
      <c r="L33" s="60"/>
      <c r="M33" s="180" t="s">
        <v>388</v>
      </c>
      <c r="N33" s="178">
        <v>7.0000000000000007E-2</v>
      </c>
      <c r="O33" s="60">
        <v>20.123760574725221</v>
      </c>
      <c r="P33" s="60">
        <v>19.694802313519837</v>
      </c>
      <c r="Q33" s="60">
        <v>26.732837493733204</v>
      </c>
      <c r="R33" s="60">
        <v>29.823894464077195</v>
      </c>
    </row>
    <row r="34" spans="2:18" x14ac:dyDescent="0.3">
      <c r="F34" s="180"/>
      <c r="G34" s="177">
        <v>7.4999999999999997E-2</v>
      </c>
      <c r="H34" s="60">
        <v>54762.413360410006</v>
      </c>
      <c r="I34" s="60">
        <v>55377.615916588482</v>
      </c>
      <c r="J34" s="60">
        <v>45445.616555573615</v>
      </c>
      <c r="K34" s="60">
        <v>41189.914015649054</v>
      </c>
      <c r="L34" s="60"/>
      <c r="M34" s="180"/>
      <c r="N34" s="178">
        <v>7.4999999999999997E-2</v>
      </c>
      <c r="O34" s="60">
        <v>18.06562750328527</v>
      </c>
      <c r="P34" s="60">
        <v>17.572866960102886</v>
      </c>
      <c r="Q34" s="60">
        <v>25.528128769192172</v>
      </c>
      <c r="R34" s="60">
        <v>28.936830950506724</v>
      </c>
    </row>
    <row r="35" spans="2:18" x14ac:dyDescent="0.3">
      <c r="B35" t="s">
        <v>331</v>
      </c>
      <c r="C35" s="151">
        <f>'data sheet'!K68</f>
        <v>11646.98</v>
      </c>
      <c r="D35" s="60">
        <f>'data sheet'!K68</f>
        <v>11646.98</v>
      </c>
      <c r="E35" s="60"/>
      <c r="G35" s="71"/>
    </row>
    <row r="36" spans="2:18" x14ac:dyDescent="0.3">
      <c r="B36" t="s">
        <v>332</v>
      </c>
      <c r="C36" s="151">
        <f>SUM('IG raw Data'!L10:L11)</f>
        <v>88964</v>
      </c>
      <c r="D36" s="60">
        <v>88964</v>
      </c>
      <c r="E36" s="60"/>
    </row>
    <row r="37" spans="2:18" x14ac:dyDescent="0.3">
      <c r="B37" s="2" t="s">
        <v>334</v>
      </c>
      <c r="C37" s="152">
        <f>D33+C35-C36</f>
        <v>-26900.881340061533</v>
      </c>
      <c r="D37" s="138">
        <f>D33+D35-D36</f>
        <v>-26900.881340061533</v>
      </c>
      <c r="E37" s="138"/>
    </row>
    <row r="38" spans="2:18" x14ac:dyDescent="0.3">
      <c r="B38" t="s">
        <v>335</v>
      </c>
      <c r="D38" s="60">
        <f>'data sheet'!B6</f>
        <v>1248.4817721105119</v>
      </c>
      <c r="E38" s="60"/>
    </row>
    <row r="39" spans="2:18" ht="15.6" customHeight="1" x14ac:dyDescent="0.3"/>
    <row r="40" spans="2:18" ht="15" thickBot="1" x14ac:dyDescent="0.35">
      <c r="B40" s="134" t="s">
        <v>336</v>
      </c>
      <c r="C40" s="134"/>
      <c r="D40" s="158">
        <f>-D37/D38</f>
        <v>21.546875525933068</v>
      </c>
      <c r="E40" s="138"/>
    </row>
    <row r="41" spans="2:18" ht="15" thickTop="1" x14ac:dyDescent="0.3"/>
    <row r="42" spans="2:18" x14ac:dyDescent="0.3">
      <c r="B42" t="s">
        <v>337</v>
      </c>
      <c r="D42" s="72">
        <v>197</v>
      </c>
      <c r="E42" s="72"/>
    </row>
    <row r="43" spans="2:18" x14ac:dyDescent="0.3">
      <c r="B43" t="s">
        <v>338</v>
      </c>
      <c r="D43" s="154">
        <f>D42/D40-1</f>
        <v>8.142856919691102</v>
      </c>
      <c r="E43" s="154"/>
    </row>
  </sheetData>
  <mergeCells count="1">
    <mergeCell ref="B2:K2"/>
  </mergeCells>
  <pageMargins left="0.7" right="0.7" top="0.75" bottom="0.75" header="0.3" footer="0.3"/>
  <pageSetup scale="68" orientation="landscape" r:id="rId1"/>
  <ignoredErrors>
    <ignoredError sqref="C36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3EC90-B498-4445-9D93-D884C853F5D2}">
  <sheetPr>
    <pageSetUpPr fitToPage="1"/>
  </sheetPr>
  <dimension ref="B2:Q14"/>
  <sheetViews>
    <sheetView showGridLines="0" zoomScale="70" zoomScaleNormal="70" workbookViewId="0">
      <selection activeCell="M26" sqref="M26"/>
    </sheetView>
  </sheetViews>
  <sheetFormatPr defaultRowHeight="14.4" x14ac:dyDescent="0.3"/>
  <cols>
    <col min="1" max="1" width="1.88671875" customWidth="1"/>
  </cols>
  <sheetData>
    <row r="2" spans="2:17" x14ac:dyDescent="0.3">
      <c r="B2" s="213" t="s">
        <v>398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</row>
    <row r="4" spans="2:17" x14ac:dyDescent="0.3">
      <c r="B4" s="213" t="s">
        <v>416</v>
      </c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</row>
    <row r="7" spans="2:17" x14ac:dyDescent="0.3">
      <c r="L7" s="102" t="s">
        <v>396</v>
      </c>
      <c r="M7" s="102"/>
      <c r="N7" s="102"/>
      <c r="O7" s="102"/>
      <c r="P7" s="102"/>
      <c r="Q7" s="102"/>
    </row>
    <row r="9" spans="2:17" x14ac:dyDescent="0.3">
      <c r="M9" s="2"/>
      <c r="N9" s="2" t="s">
        <v>390</v>
      </c>
      <c r="O9" s="162" t="s">
        <v>377</v>
      </c>
      <c r="P9" s="2" t="s">
        <v>391</v>
      </c>
      <c r="Q9" s="162" t="s">
        <v>374</v>
      </c>
    </row>
    <row r="10" spans="2:17" x14ac:dyDescent="0.3">
      <c r="L10" s="2" t="s">
        <v>392</v>
      </c>
      <c r="N10" s="60">
        <f>O10</f>
        <v>125.2</v>
      </c>
      <c r="O10" s="60">
        <v>125.2</v>
      </c>
      <c r="P10" s="60">
        <f>Q10</f>
        <v>211.6</v>
      </c>
      <c r="Q10" s="60">
        <v>211.6</v>
      </c>
    </row>
    <row r="11" spans="2:17" x14ac:dyDescent="0.3">
      <c r="L11" s="2" t="s">
        <v>393</v>
      </c>
      <c r="N11" s="60">
        <f>O11</f>
        <v>121.2</v>
      </c>
      <c r="O11" s="60">
        <v>121.2</v>
      </c>
      <c r="P11" s="60">
        <f>Q11</f>
        <v>153.5</v>
      </c>
      <c r="Q11" s="60">
        <v>153.5</v>
      </c>
    </row>
    <row r="12" spans="2:17" x14ac:dyDescent="0.3">
      <c r="L12" s="2" t="s">
        <v>397</v>
      </c>
      <c r="N12" s="60">
        <f>O12</f>
        <v>121.2</v>
      </c>
      <c r="O12" s="60">
        <v>121.2</v>
      </c>
      <c r="P12" s="60">
        <f>Q12</f>
        <v>219.4</v>
      </c>
      <c r="Q12" s="60">
        <v>219.4</v>
      </c>
    </row>
    <row r="13" spans="2:17" x14ac:dyDescent="0.3">
      <c r="L13" s="2" t="s">
        <v>394</v>
      </c>
      <c r="N13" s="60">
        <f>O13</f>
        <v>210.7</v>
      </c>
      <c r="O13" s="60">
        <v>210.7</v>
      </c>
      <c r="P13" s="60">
        <f>Q13</f>
        <v>303.8</v>
      </c>
      <c r="Q13" s="60">
        <v>303.8</v>
      </c>
    </row>
    <row r="14" spans="2:17" x14ac:dyDescent="0.3">
      <c r="L14" s="2" t="s">
        <v>395</v>
      </c>
      <c r="N14" s="93">
        <f>O14</f>
        <v>125.3</v>
      </c>
      <c r="O14" s="72">
        <v>125.3</v>
      </c>
      <c r="P14" s="93">
        <f>Q14</f>
        <v>216.45</v>
      </c>
      <c r="Q14" s="72">
        <v>216.45</v>
      </c>
    </row>
  </sheetData>
  <mergeCells count="2">
    <mergeCell ref="B2:Q2"/>
    <mergeCell ref="B4:Q4"/>
  </mergeCells>
  <pageMargins left="0.7" right="0.7" top="0.75" bottom="0.75" header="0.3" footer="0.3"/>
  <pageSetup scale="62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74A60-82E0-46A6-A203-571C360C7387}">
  <sheetPr>
    <pageSetUpPr fitToPage="1"/>
  </sheetPr>
  <dimension ref="B3:R16"/>
  <sheetViews>
    <sheetView showGridLines="0" topLeftCell="B1" zoomScale="70" zoomScaleNormal="70" workbookViewId="0">
      <selection activeCell="I20" sqref="I20"/>
    </sheetView>
  </sheetViews>
  <sheetFormatPr defaultRowHeight="14.4" x14ac:dyDescent="0.3"/>
  <cols>
    <col min="1" max="1" width="1.88671875" customWidth="1"/>
    <col min="3" max="3" width="12.109375" customWidth="1"/>
    <col min="4" max="4" width="8.5546875" customWidth="1"/>
    <col min="5" max="5" width="9.21875" customWidth="1"/>
    <col min="6" max="6" width="13.109375" customWidth="1"/>
    <col min="7" max="7" width="10.109375" bestFit="1" customWidth="1"/>
    <col min="8" max="8" width="10.109375" customWidth="1"/>
    <col min="9" max="9" width="10.44140625" customWidth="1"/>
    <col min="10" max="10" width="13.44140625" customWidth="1"/>
    <col min="11" max="11" width="11.21875" bestFit="1" customWidth="1"/>
    <col min="12" max="12" width="9" bestFit="1" customWidth="1"/>
    <col min="13" max="13" width="8.21875" customWidth="1"/>
    <col min="14" max="14" width="9.33203125" customWidth="1"/>
    <col min="15" max="15" width="9" customWidth="1"/>
    <col min="16" max="16" width="11.77734375" bestFit="1" customWidth="1"/>
    <col min="18" max="18" width="9.109375" customWidth="1"/>
  </cols>
  <sheetData>
    <row r="3" spans="2:18" x14ac:dyDescent="0.3">
      <c r="B3" s="161" t="s">
        <v>362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</row>
    <row r="9" spans="2:18" x14ac:dyDescent="0.3">
      <c r="B9" t="s">
        <v>363</v>
      </c>
      <c r="C9" s="2" t="s">
        <v>228</v>
      </c>
      <c r="D9" s="2" t="s">
        <v>229</v>
      </c>
      <c r="E9" s="2" t="s">
        <v>359</v>
      </c>
      <c r="F9" s="2" t="s">
        <v>368</v>
      </c>
      <c r="G9" s="2" t="s">
        <v>360</v>
      </c>
      <c r="H9" s="2" t="s">
        <v>347</v>
      </c>
      <c r="I9" s="2" t="s">
        <v>355</v>
      </c>
      <c r="J9" s="2" t="s">
        <v>367</v>
      </c>
      <c r="K9" s="2" t="s">
        <v>356</v>
      </c>
      <c r="L9" s="2" t="s">
        <v>361</v>
      </c>
      <c r="M9" s="2" t="s">
        <v>357</v>
      </c>
      <c r="N9" s="2" t="s">
        <v>358</v>
      </c>
      <c r="O9" s="2" t="s">
        <v>364</v>
      </c>
      <c r="P9" s="2" t="s">
        <v>365</v>
      </c>
      <c r="Q9" s="2" t="s">
        <v>63</v>
      </c>
      <c r="R9" s="89" t="s">
        <v>366</v>
      </c>
    </row>
    <row r="10" spans="2:18" x14ac:dyDescent="0.3">
      <c r="B10">
        <v>1</v>
      </c>
      <c r="C10" t="s">
        <v>233</v>
      </c>
      <c r="D10">
        <v>1169.5999999999999</v>
      </c>
      <c r="E10">
        <v>244.55</v>
      </c>
      <c r="F10">
        <f>E10*D10</f>
        <v>286025.68</v>
      </c>
      <c r="G10">
        <v>101107</v>
      </c>
      <c r="H10">
        <f>G10-I10</f>
        <v>87822</v>
      </c>
      <c r="I10">
        <v>13285</v>
      </c>
      <c r="J10">
        <f>F10+G10-I10</f>
        <v>373847.68</v>
      </c>
      <c r="K10">
        <v>179109</v>
      </c>
      <c r="L10">
        <v>7766</v>
      </c>
      <c r="M10">
        <v>837</v>
      </c>
      <c r="N10">
        <v>9028</v>
      </c>
      <c r="O10">
        <v>9950</v>
      </c>
      <c r="P10">
        <v>285767.61</v>
      </c>
      <c r="Q10">
        <f>K10+L10+M10+N10+O10</f>
        <v>206690</v>
      </c>
      <c r="R10" s="10">
        <f>Q10/K10*100%</f>
        <v>1.153990028418449</v>
      </c>
    </row>
    <row r="11" spans="2:18" x14ac:dyDescent="0.3">
      <c r="B11">
        <v>2</v>
      </c>
      <c r="C11" t="s">
        <v>170</v>
      </c>
      <c r="D11">
        <v>196.77</v>
      </c>
      <c r="E11">
        <v>1248.3499999999999</v>
      </c>
      <c r="F11">
        <f t="shared" ref="F11:F16" si="0">E11*D11</f>
        <v>245637.82949999999</v>
      </c>
      <c r="G11">
        <v>95643.13</v>
      </c>
      <c r="H11">
        <f t="shared" ref="H11:H16" si="1">G11-I11</f>
        <v>83996.150000000009</v>
      </c>
      <c r="I11">
        <v>11646.98</v>
      </c>
      <c r="J11">
        <f t="shared" ref="J11:J16" si="2">F11+G11-I11</f>
        <v>329633.97950000002</v>
      </c>
      <c r="K11">
        <v>225087.92</v>
      </c>
      <c r="L11">
        <v>9121.7000000000007</v>
      </c>
      <c r="M11">
        <v>4236.3100000000004</v>
      </c>
      <c r="N11">
        <v>7163.43</v>
      </c>
      <c r="O11">
        <v>11406.08</v>
      </c>
      <c r="P11">
        <v>245586.8</v>
      </c>
      <c r="Q11">
        <f t="shared" ref="Q11:Q16" si="3">K11+L11+M11+N11+O11</f>
        <v>257015.44</v>
      </c>
      <c r="R11" s="10">
        <f t="shared" ref="R11:R16" si="4">Q11/K11*100%</f>
        <v>1.1418446622990697</v>
      </c>
    </row>
    <row r="12" spans="2:18" x14ac:dyDescent="0.3">
      <c r="B12">
        <v>3</v>
      </c>
      <c r="C12" t="s">
        <v>234</v>
      </c>
      <c r="D12">
        <v>1186.5</v>
      </c>
      <c r="E12">
        <v>102.01</v>
      </c>
      <c r="F12">
        <f t="shared" si="0"/>
        <v>121034.86500000001</v>
      </c>
      <c r="G12">
        <v>19155.98</v>
      </c>
      <c r="H12">
        <f t="shared" si="1"/>
        <v>14975.93</v>
      </c>
      <c r="I12">
        <v>4180.05</v>
      </c>
      <c r="J12">
        <f t="shared" si="2"/>
        <v>136010.79500000001</v>
      </c>
      <c r="K12">
        <v>50190.12</v>
      </c>
      <c r="L12">
        <v>2016.04</v>
      </c>
      <c r="M12">
        <v>1394.77</v>
      </c>
      <c r="N12">
        <v>1415.88</v>
      </c>
      <c r="O12">
        <v>3000.28</v>
      </c>
      <c r="P12">
        <v>121044.09</v>
      </c>
      <c r="Q12">
        <f t="shared" si="3"/>
        <v>58017.09</v>
      </c>
      <c r="R12" s="10">
        <f t="shared" si="4"/>
        <v>1.1559464292972401</v>
      </c>
    </row>
    <row r="13" spans="2:18" x14ac:dyDescent="0.3">
      <c r="B13">
        <v>4</v>
      </c>
      <c r="C13" t="s">
        <v>353</v>
      </c>
      <c r="D13">
        <v>155.52000000000001</v>
      </c>
      <c r="E13">
        <v>413.05</v>
      </c>
      <c r="F13">
        <f t="shared" si="0"/>
        <v>64237.536000000007</v>
      </c>
      <c r="G13">
        <v>33663.18</v>
      </c>
      <c r="H13">
        <f t="shared" si="1"/>
        <v>32696.3</v>
      </c>
      <c r="I13">
        <v>966.88</v>
      </c>
      <c r="J13">
        <f t="shared" si="2"/>
        <v>96933.83600000001</v>
      </c>
      <c r="K13">
        <v>109313.49</v>
      </c>
      <c r="L13">
        <v>2788.31</v>
      </c>
      <c r="M13">
        <v>872.61</v>
      </c>
      <c r="N13">
        <v>2290.5500000000002</v>
      </c>
      <c r="O13">
        <v>5934.33</v>
      </c>
      <c r="P13">
        <v>64406.81</v>
      </c>
      <c r="Q13">
        <f t="shared" si="3"/>
        <v>121199.29000000001</v>
      </c>
      <c r="R13" s="10">
        <f t="shared" si="4"/>
        <v>1.1087313194373356</v>
      </c>
    </row>
    <row r="14" spans="2:18" x14ac:dyDescent="0.3">
      <c r="B14">
        <v>5</v>
      </c>
      <c r="C14" t="s">
        <v>235</v>
      </c>
      <c r="D14">
        <v>721.95</v>
      </c>
      <c r="E14">
        <v>82.44</v>
      </c>
      <c r="F14">
        <f t="shared" si="0"/>
        <v>59517.558000000005</v>
      </c>
      <c r="G14">
        <v>6861.97</v>
      </c>
      <c r="H14">
        <f t="shared" si="1"/>
        <v>4592.1000000000004</v>
      </c>
      <c r="I14">
        <v>2269.87</v>
      </c>
      <c r="J14">
        <f t="shared" si="2"/>
        <v>64109.658000000003</v>
      </c>
      <c r="K14">
        <v>41815.79</v>
      </c>
      <c r="L14">
        <v>2940.32</v>
      </c>
      <c r="M14">
        <v>918.18</v>
      </c>
      <c r="N14">
        <v>568.94000000000005</v>
      </c>
      <c r="O14">
        <v>1023.87</v>
      </c>
      <c r="P14">
        <v>59493.760000000002</v>
      </c>
      <c r="Q14">
        <f t="shared" si="3"/>
        <v>47267.100000000006</v>
      </c>
      <c r="R14" s="10">
        <f t="shared" si="4"/>
        <v>1.1303648693472013</v>
      </c>
    </row>
    <row r="15" spans="2:18" x14ac:dyDescent="0.3">
      <c r="B15">
        <v>6</v>
      </c>
      <c r="C15" t="s">
        <v>354</v>
      </c>
      <c r="D15">
        <v>508.75</v>
      </c>
      <c r="E15">
        <v>35.24</v>
      </c>
      <c r="F15">
        <f t="shared" si="0"/>
        <v>17928.350000000002</v>
      </c>
      <c r="G15">
        <v>2680.55</v>
      </c>
      <c r="H15">
        <f t="shared" si="1"/>
        <v>2072.3200000000002</v>
      </c>
      <c r="I15">
        <v>608.23</v>
      </c>
      <c r="J15">
        <f t="shared" si="2"/>
        <v>20000.670000000002</v>
      </c>
      <c r="K15">
        <v>5675.72</v>
      </c>
      <c r="L15">
        <v>1054.69</v>
      </c>
      <c r="M15">
        <v>382.71</v>
      </c>
      <c r="N15">
        <v>260.95999999999998</v>
      </c>
      <c r="O15">
        <v>339.14</v>
      </c>
      <c r="P15">
        <v>17916.849999999999</v>
      </c>
      <c r="Q15">
        <f t="shared" si="3"/>
        <v>7713.22</v>
      </c>
      <c r="R15" s="10">
        <f t="shared" si="4"/>
        <v>1.3589852917339122</v>
      </c>
    </row>
    <row r="16" spans="2:18" x14ac:dyDescent="0.3">
      <c r="B16">
        <v>7</v>
      </c>
      <c r="C16" t="s">
        <v>236</v>
      </c>
      <c r="D16">
        <v>36.700000000000003</v>
      </c>
      <c r="E16">
        <v>293.06</v>
      </c>
      <c r="F16">
        <f t="shared" si="0"/>
        <v>10755.302000000001</v>
      </c>
      <c r="G16">
        <v>5309.93</v>
      </c>
      <c r="H16">
        <f t="shared" si="1"/>
        <v>4402.29</v>
      </c>
      <c r="I16">
        <v>907.64</v>
      </c>
      <c r="J16">
        <f t="shared" si="2"/>
        <v>15157.592000000002</v>
      </c>
      <c r="K16">
        <v>12601.06</v>
      </c>
      <c r="L16">
        <v>-806.58</v>
      </c>
      <c r="M16">
        <v>-268.05</v>
      </c>
      <c r="N16">
        <v>562.72</v>
      </c>
      <c r="O16">
        <v>1012.92</v>
      </c>
      <c r="P16">
        <v>10746.37</v>
      </c>
      <c r="Q16">
        <f t="shared" si="3"/>
        <v>13102.07</v>
      </c>
      <c r="R16" s="10">
        <f t="shared" si="4"/>
        <v>1.039759353578191</v>
      </c>
    </row>
  </sheetData>
  <pageMargins left="0.7" right="0.7" top="0.75" bottom="0.75" header="0.3" footer="0.3"/>
  <pageSetup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7CCC-A891-4B1E-9643-9C6AF8FD3922}">
  <sheetPr>
    <pageSetUpPr fitToPage="1"/>
  </sheetPr>
  <dimension ref="B2:P37"/>
  <sheetViews>
    <sheetView showGridLines="0" zoomScale="70" zoomScaleNormal="70" workbookViewId="0">
      <selection activeCell="V23" sqref="V23"/>
    </sheetView>
  </sheetViews>
  <sheetFormatPr defaultRowHeight="14.4" x14ac:dyDescent="0.3"/>
  <cols>
    <col min="1" max="1" width="1.88671875" customWidth="1"/>
    <col min="2" max="2" width="14.77734375" customWidth="1"/>
    <col min="5" max="5" width="11.5546875" customWidth="1"/>
    <col min="6" max="6" width="11.44140625" customWidth="1"/>
    <col min="8" max="8" width="11" customWidth="1"/>
    <col min="9" max="9" width="3.6640625" customWidth="1"/>
    <col min="12" max="12" width="11.77734375" customWidth="1"/>
    <col min="13" max="13" width="3.6640625" customWidth="1"/>
    <col min="14" max="14" width="11.44140625" customWidth="1"/>
    <col min="15" max="15" width="13.77734375" customWidth="1"/>
    <col min="16" max="16" width="11.33203125" bestFit="1" customWidth="1"/>
  </cols>
  <sheetData>
    <row r="2" spans="2:16" x14ac:dyDescent="0.3">
      <c r="B2" s="213" t="s">
        <v>33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</row>
    <row r="4" spans="2:16" x14ac:dyDescent="0.3">
      <c r="B4" s="11" t="s">
        <v>384</v>
      </c>
    </row>
    <row r="5" spans="2:16" ht="6" customHeight="1" x14ac:dyDescent="0.3">
      <c r="B5" s="11"/>
    </row>
    <row r="6" spans="2:16" x14ac:dyDescent="0.3">
      <c r="B6" s="102" t="s">
        <v>339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</row>
    <row r="8" spans="2:16" x14ac:dyDescent="0.3">
      <c r="B8" s="108"/>
      <c r="C8" s="108"/>
      <c r="D8" s="213" t="s">
        <v>348</v>
      </c>
      <c r="E8" s="213"/>
      <c r="F8" s="213"/>
      <c r="G8" s="213"/>
      <c r="H8" s="213"/>
      <c r="I8" s="213"/>
      <c r="J8" s="213" t="s">
        <v>351</v>
      </c>
      <c r="K8" s="213"/>
      <c r="L8" s="213"/>
      <c r="M8" s="213" t="s">
        <v>352</v>
      </c>
      <c r="N8" s="213"/>
      <c r="O8" s="213"/>
      <c r="P8" s="213"/>
    </row>
    <row r="9" spans="2:16" ht="16.8" customHeight="1" x14ac:dyDescent="0.3">
      <c r="B9" s="159"/>
      <c r="C9" s="159"/>
      <c r="D9" s="102" t="s">
        <v>342</v>
      </c>
      <c r="E9" s="102" t="s">
        <v>344</v>
      </c>
      <c r="F9" s="159"/>
      <c r="G9" s="159"/>
      <c r="H9" s="102" t="s">
        <v>370</v>
      </c>
      <c r="I9" s="159"/>
      <c r="J9" s="159"/>
      <c r="K9" s="159"/>
      <c r="L9" s="159"/>
      <c r="M9" s="108"/>
      <c r="N9" s="108"/>
      <c r="O9" s="108"/>
      <c r="P9" s="108"/>
    </row>
    <row r="10" spans="2:16" x14ac:dyDescent="0.3">
      <c r="B10" s="102" t="s">
        <v>340</v>
      </c>
      <c r="C10" s="102" t="s">
        <v>341</v>
      </c>
      <c r="D10" s="102" t="s">
        <v>343</v>
      </c>
      <c r="E10" s="102" t="s">
        <v>345</v>
      </c>
      <c r="F10" s="102" t="s">
        <v>346</v>
      </c>
      <c r="G10" s="102" t="s">
        <v>347</v>
      </c>
      <c r="H10" s="102" t="s">
        <v>369</v>
      </c>
      <c r="I10" s="102"/>
      <c r="J10" s="102" t="s">
        <v>349</v>
      </c>
      <c r="K10" s="102" t="s">
        <v>63</v>
      </c>
      <c r="L10" s="102" t="s">
        <v>350</v>
      </c>
      <c r="M10" s="108"/>
      <c r="N10" s="102" t="s">
        <v>371</v>
      </c>
      <c r="O10" s="52" t="s">
        <v>372</v>
      </c>
      <c r="P10" s="9" t="s">
        <v>373</v>
      </c>
    </row>
    <row r="11" spans="2:16" ht="6.6" customHeight="1" x14ac:dyDescent="0.3"/>
    <row r="12" spans="2:16" x14ac:dyDescent="0.3">
      <c r="B12" s="131" t="s">
        <v>233</v>
      </c>
      <c r="C12" s="131"/>
      <c r="D12" s="131">
        <f>'RV Data'!D10</f>
        <v>1169.5999999999999</v>
      </c>
      <c r="E12" s="131">
        <f>'RV Data'!E10</f>
        <v>244.55</v>
      </c>
      <c r="F12" s="131">
        <f>E12*D12</f>
        <v>286025.68</v>
      </c>
      <c r="G12" s="131">
        <f>'RV Data'!H10</f>
        <v>87822</v>
      </c>
      <c r="H12" s="131">
        <f>F12+G12</f>
        <v>373847.68</v>
      </c>
      <c r="I12" s="131"/>
      <c r="J12" s="131">
        <f>'RV Data'!K10</f>
        <v>179109</v>
      </c>
      <c r="K12" s="131">
        <f>'RV Data'!Q10</f>
        <v>206690</v>
      </c>
      <c r="L12" s="131">
        <f>'RV Data'!L10</f>
        <v>7766</v>
      </c>
      <c r="M12" s="131"/>
      <c r="N12" s="163">
        <f>$H12/J12</f>
        <v>2.0872635099297074</v>
      </c>
      <c r="O12" s="163">
        <f>$H12/K12</f>
        <v>1.8087361749479898</v>
      </c>
      <c r="P12" s="163">
        <f>F12/L12</f>
        <v>36.830502189029097</v>
      </c>
    </row>
    <row r="13" spans="2:16" x14ac:dyDescent="0.3">
      <c r="B13" s="164" t="s">
        <v>170</v>
      </c>
      <c r="C13" s="164"/>
      <c r="D13" s="164">
        <f>'RV Data'!D11</f>
        <v>196.77</v>
      </c>
      <c r="E13" s="164">
        <f>'RV Data'!E11</f>
        <v>1248.3499999999999</v>
      </c>
      <c r="F13" s="164">
        <f t="shared" ref="F13:F18" si="0">E13*D13</f>
        <v>245637.82949999999</v>
      </c>
      <c r="G13" s="164">
        <f>'RV Data'!H11</f>
        <v>83996.150000000009</v>
      </c>
      <c r="H13" s="164">
        <f t="shared" ref="H13:H18" si="1">F13+G13</f>
        <v>329633.97950000002</v>
      </c>
      <c r="I13" s="164"/>
      <c r="J13" s="164">
        <f>'RV Data'!K11</f>
        <v>225087.92</v>
      </c>
      <c r="K13" s="164">
        <f>'RV Data'!Q11</f>
        <v>257015.44</v>
      </c>
      <c r="L13" s="164">
        <f>'RV Data'!L11</f>
        <v>9121.7000000000007</v>
      </c>
      <c r="M13" s="165"/>
      <c r="N13" s="166">
        <f t="shared" ref="N13:O18" si="2">$H13/J13</f>
        <v>1.4644676600148065</v>
      </c>
      <c r="O13" s="166">
        <f t="shared" si="2"/>
        <v>1.2825454357917174</v>
      </c>
      <c r="P13" s="166">
        <f t="shared" ref="P13:P18" si="3">F13/L13</f>
        <v>26.928952881590053</v>
      </c>
    </row>
    <row r="14" spans="2:16" x14ac:dyDescent="0.3">
      <c r="B14" s="131" t="s">
        <v>234</v>
      </c>
      <c r="C14" s="131"/>
      <c r="D14" s="131">
        <f>'RV Data'!D12</f>
        <v>1186.5</v>
      </c>
      <c r="E14" s="131">
        <f>'RV Data'!E12</f>
        <v>102.01</v>
      </c>
      <c r="F14" s="131">
        <f t="shared" si="0"/>
        <v>121034.86500000001</v>
      </c>
      <c r="G14" s="131">
        <f>'RV Data'!H12</f>
        <v>14975.93</v>
      </c>
      <c r="H14" s="131">
        <f t="shared" si="1"/>
        <v>136010.79500000001</v>
      </c>
      <c r="I14" s="131"/>
      <c r="J14" s="131">
        <f>'RV Data'!K12</f>
        <v>50190.12</v>
      </c>
      <c r="K14" s="131">
        <f>'RV Data'!Q12</f>
        <v>58017.09</v>
      </c>
      <c r="L14" s="131">
        <f>'RV Data'!L12</f>
        <v>2016.04</v>
      </c>
      <c r="M14" s="131"/>
      <c r="N14" s="163">
        <f t="shared" si="2"/>
        <v>2.7099117316316441</v>
      </c>
      <c r="O14" s="163">
        <f t="shared" si="2"/>
        <v>2.3443229400164678</v>
      </c>
      <c r="P14" s="163">
        <f t="shared" si="3"/>
        <v>60.03594422729708</v>
      </c>
    </row>
    <row r="15" spans="2:16" x14ac:dyDescent="0.3">
      <c r="B15" s="131" t="s">
        <v>353</v>
      </c>
      <c r="C15" s="131"/>
      <c r="D15" s="131">
        <f>'RV Data'!D13</f>
        <v>155.52000000000001</v>
      </c>
      <c r="E15" s="131">
        <f>'RV Data'!E13</f>
        <v>413.05</v>
      </c>
      <c r="F15" s="131">
        <f t="shared" si="0"/>
        <v>64237.536000000007</v>
      </c>
      <c r="G15" s="131">
        <f>'RV Data'!H13</f>
        <v>32696.3</v>
      </c>
      <c r="H15" s="131">
        <f t="shared" si="1"/>
        <v>96933.83600000001</v>
      </c>
      <c r="I15" s="131"/>
      <c r="J15" s="131">
        <f>'RV Data'!K13</f>
        <v>109313.49</v>
      </c>
      <c r="K15" s="131">
        <f>'RV Data'!Q13</f>
        <v>121199.29000000001</v>
      </c>
      <c r="L15" s="131">
        <f>'RV Data'!L13</f>
        <v>2788.31</v>
      </c>
      <c r="M15" s="131"/>
      <c r="N15" s="163">
        <f t="shared" si="2"/>
        <v>0.88675090329656481</v>
      </c>
      <c r="O15" s="163">
        <f t="shared" si="2"/>
        <v>0.79978881064402274</v>
      </c>
      <c r="P15" s="163">
        <f t="shared" si="3"/>
        <v>23.038161466981794</v>
      </c>
    </row>
    <row r="16" spans="2:16" x14ac:dyDescent="0.3">
      <c r="B16" s="131" t="s">
        <v>235</v>
      </c>
      <c r="C16" s="131"/>
      <c r="D16" s="131">
        <f>'RV Data'!D14</f>
        <v>721.95</v>
      </c>
      <c r="E16" s="131">
        <f>'RV Data'!E14</f>
        <v>82.44</v>
      </c>
      <c r="F16" s="131">
        <f t="shared" si="0"/>
        <v>59517.558000000005</v>
      </c>
      <c r="G16" s="131">
        <f>'RV Data'!H14</f>
        <v>4592.1000000000004</v>
      </c>
      <c r="H16" s="131">
        <f t="shared" si="1"/>
        <v>64109.658000000003</v>
      </c>
      <c r="I16" s="131"/>
      <c r="J16" s="131">
        <f>'RV Data'!K14</f>
        <v>41815.79</v>
      </c>
      <c r="K16" s="131">
        <f>'RV Data'!Q14</f>
        <v>47267.100000000006</v>
      </c>
      <c r="L16" s="131">
        <f>'RV Data'!L14</f>
        <v>2940.32</v>
      </c>
      <c r="M16" s="131"/>
      <c r="N16" s="163">
        <f t="shared" si="2"/>
        <v>1.5331447283430495</v>
      </c>
      <c r="O16" s="163">
        <f t="shared" si="2"/>
        <v>1.35632729742252</v>
      </c>
      <c r="P16" s="163">
        <f t="shared" si="3"/>
        <v>20.241864150840726</v>
      </c>
    </row>
    <row r="17" spans="2:16" x14ac:dyDescent="0.3">
      <c r="B17" s="131" t="s">
        <v>354</v>
      </c>
      <c r="C17" s="131"/>
      <c r="D17" s="131">
        <f>'RV Data'!D15</f>
        <v>508.75</v>
      </c>
      <c r="E17" s="131">
        <f>'RV Data'!E15</f>
        <v>35.24</v>
      </c>
      <c r="F17" s="131">
        <f t="shared" si="0"/>
        <v>17928.350000000002</v>
      </c>
      <c r="G17" s="131">
        <f>'RV Data'!H15</f>
        <v>2072.3200000000002</v>
      </c>
      <c r="H17" s="131">
        <f t="shared" si="1"/>
        <v>20000.670000000002</v>
      </c>
      <c r="I17" s="131"/>
      <c r="J17" s="131">
        <f>'RV Data'!K15</f>
        <v>5675.72</v>
      </c>
      <c r="K17" s="131">
        <f>'RV Data'!Q15</f>
        <v>7713.22</v>
      </c>
      <c r="L17" s="131">
        <f>'RV Data'!L15</f>
        <v>1054.69</v>
      </c>
      <c r="M17" s="131"/>
      <c r="N17" s="163">
        <f t="shared" si="2"/>
        <v>3.5239000514472174</v>
      </c>
      <c r="O17" s="163">
        <f t="shared" si="2"/>
        <v>2.5930376677963292</v>
      </c>
      <c r="P17" s="163">
        <f t="shared" si="3"/>
        <v>16.998691558657047</v>
      </c>
    </row>
    <row r="18" spans="2:16" x14ac:dyDescent="0.3">
      <c r="B18" s="131" t="s">
        <v>236</v>
      </c>
      <c r="C18" s="131"/>
      <c r="D18" s="131">
        <f>'RV Data'!D16</f>
        <v>36.700000000000003</v>
      </c>
      <c r="E18" s="131">
        <f>'RV Data'!E16</f>
        <v>293.06</v>
      </c>
      <c r="F18" s="131">
        <f t="shared" si="0"/>
        <v>10755.302000000001</v>
      </c>
      <c r="G18" s="131">
        <f>'RV Data'!H16</f>
        <v>4402.29</v>
      </c>
      <c r="H18" s="131">
        <f t="shared" si="1"/>
        <v>15157.592000000001</v>
      </c>
      <c r="I18" s="131"/>
      <c r="J18" s="131">
        <f>'RV Data'!K16</f>
        <v>12601.06</v>
      </c>
      <c r="K18" s="131">
        <f>'RV Data'!Q16</f>
        <v>13102.07</v>
      </c>
      <c r="L18" s="131">
        <f>'RV Data'!L16</f>
        <v>-806.58</v>
      </c>
      <c r="M18" s="131"/>
      <c r="N18" s="163">
        <f t="shared" si="2"/>
        <v>1.2028822972035687</v>
      </c>
      <c r="O18" s="163">
        <f t="shared" si="2"/>
        <v>1.1568852860654844</v>
      </c>
      <c r="P18" s="163">
        <f t="shared" si="3"/>
        <v>-13.334451635299661</v>
      </c>
    </row>
    <row r="20" spans="2:16" x14ac:dyDescent="0.3">
      <c r="B20" s="146" t="s">
        <v>374</v>
      </c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70">
        <f>MAX(N12:N18)</f>
        <v>3.5239000514472174</v>
      </c>
      <c r="O20" s="170">
        <f t="shared" ref="O20:P20" si="4">MAX(O12:O18)</f>
        <v>2.5930376677963292</v>
      </c>
      <c r="P20" s="170">
        <f t="shared" si="4"/>
        <v>60.03594422729708</v>
      </c>
    </row>
    <row r="21" spans="2:16" x14ac:dyDescent="0.3">
      <c r="B21" s="146" t="s">
        <v>375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70">
        <f>QUARTILE(N12:N18,3)</f>
        <v>2.3985876207806758</v>
      </c>
      <c r="O21" s="170">
        <f t="shared" ref="O21:P21" si="5">QUARTILE(O12:O18,3)</f>
        <v>2.0765295574822287</v>
      </c>
      <c r="P21" s="170">
        <f t="shared" si="5"/>
        <v>31.879727535309577</v>
      </c>
    </row>
    <row r="22" spans="2:16" x14ac:dyDescent="0.3">
      <c r="B22" s="171" t="s">
        <v>172</v>
      </c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72">
        <f>AVERAGE(N12:N18)</f>
        <v>1.9154744116952227</v>
      </c>
      <c r="O22" s="172">
        <f t="shared" ref="O22:P22" si="6">AVERAGE(O12:O18)</f>
        <v>1.620234801812076</v>
      </c>
      <c r="P22" s="172">
        <f t="shared" si="6"/>
        <v>24.39138069129945</v>
      </c>
    </row>
    <row r="23" spans="2:16" x14ac:dyDescent="0.3">
      <c r="B23" s="171" t="s">
        <v>147</v>
      </c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72">
        <f>MEDIAN(N12:N18)</f>
        <v>1.5331447283430495</v>
      </c>
      <c r="O23" s="172">
        <f t="shared" ref="O23:P23" si="7">MEDIAN(O12:O18)</f>
        <v>1.35632729742252</v>
      </c>
      <c r="P23" s="172">
        <f t="shared" si="7"/>
        <v>23.038161466981794</v>
      </c>
    </row>
    <row r="24" spans="2:16" x14ac:dyDescent="0.3">
      <c r="B24" s="146" t="s">
        <v>376</v>
      </c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70">
        <f t="shared" ref="N24:P25" si="8">MEDIAN(N13:N19)</f>
        <v>1.4988061941789281</v>
      </c>
      <c r="O24" s="170">
        <f t="shared" si="8"/>
        <v>1.3194363666071187</v>
      </c>
      <c r="P24" s="170">
        <f t="shared" si="8"/>
        <v>21.640012808911258</v>
      </c>
    </row>
    <row r="25" spans="2:16" x14ac:dyDescent="0.3">
      <c r="B25" s="146" t="s">
        <v>377</v>
      </c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70">
        <f t="shared" si="8"/>
        <v>2.121528229987347</v>
      </c>
      <c r="O25" s="170">
        <f t="shared" si="8"/>
        <v>1.850325118719494</v>
      </c>
      <c r="P25" s="170">
        <f t="shared" si="8"/>
        <v>21.640012808911258</v>
      </c>
    </row>
    <row r="27" spans="2:16" x14ac:dyDescent="0.3">
      <c r="B27" s="102" t="s">
        <v>378</v>
      </c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 t="s">
        <v>371</v>
      </c>
      <c r="O27" s="52" t="s">
        <v>372</v>
      </c>
      <c r="P27" s="9" t="s">
        <v>373</v>
      </c>
    </row>
    <row r="29" spans="2:16" x14ac:dyDescent="0.3">
      <c r="B29" s="131" t="s">
        <v>379</v>
      </c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73">
        <f>N23*J13</f>
        <v>345092.3579617021</v>
      </c>
      <c r="O29" s="173">
        <f>N23*O13</f>
        <v>1.9663277737445106</v>
      </c>
      <c r="P29" s="173">
        <f>P31+P30</f>
        <v>294143.34745336784</v>
      </c>
    </row>
    <row r="30" spans="2:16" x14ac:dyDescent="0.3">
      <c r="B30" s="131" t="s">
        <v>347</v>
      </c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73">
        <f>$G$13</f>
        <v>83996.150000000009</v>
      </c>
      <c r="O30" s="173">
        <f t="shared" ref="O30:P30" si="9">$G$13</f>
        <v>83996.150000000009</v>
      </c>
      <c r="P30" s="173">
        <f t="shared" si="9"/>
        <v>83996.150000000009</v>
      </c>
    </row>
    <row r="31" spans="2:16" x14ac:dyDescent="0.3">
      <c r="B31" s="131" t="s">
        <v>380</v>
      </c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73">
        <f>N29-N30</f>
        <v>261096.20796170208</v>
      </c>
      <c r="O31" s="173">
        <f t="shared" ref="O31" si="10">O29-O30</f>
        <v>-83994.183672226267</v>
      </c>
      <c r="P31" s="173">
        <f>P23*L13</f>
        <v>210147.19745336784</v>
      </c>
    </row>
    <row r="32" spans="2:16" x14ac:dyDescent="0.3">
      <c r="B32" s="131" t="s">
        <v>381</v>
      </c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73">
        <f>$E$13</f>
        <v>1248.3499999999999</v>
      </c>
      <c r="O32" s="173">
        <f t="shared" ref="O32:P32" si="11">$E$13</f>
        <v>1248.3499999999999</v>
      </c>
      <c r="P32" s="173">
        <f t="shared" si="11"/>
        <v>1248.3499999999999</v>
      </c>
    </row>
    <row r="33" spans="2:16" ht="6" customHeight="1" x14ac:dyDescent="0.3">
      <c r="N33" s="167"/>
      <c r="O33" s="167"/>
      <c r="P33" s="167"/>
    </row>
    <row r="34" spans="2:16" ht="15" thickBot="1" x14ac:dyDescent="0.35">
      <c r="B34" s="168" t="s">
        <v>382</v>
      </c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9">
        <f>N31/N32</f>
        <v>209.15304839324077</v>
      </c>
      <c r="O34" s="169">
        <f t="shared" ref="O34:P34" si="12">O31/O32</f>
        <v>-67.284162031662817</v>
      </c>
      <c r="P34" s="169">
        <f t="shared" si="12"/>
        <v>168.33996671876307</v>
      </c>
    </row>
    <row r="35" spans="2:16" ht="15" thickTop="1" x14ac:dyDescent="0.3">
      <c r="B35" s="174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5"/>
      <c r="O35" s="175"/>
      <c r="P35" s="175"/>
    </row>
    <row r="36" spans="2:16" x14ac:dyDescent="0.3">
      <c r="B36" s="11" t="s">
        <v>383</v>
      </c>
    </row>
    <row r="37" spans="2:16" x14ac:dyDescent="0.3">
      <c r="N37" t="str">
        <f>IF(N34&gt;$D$13, "Undervalued","Overvalued")</f>
        <v>Undervalued</v>
      </c>
      <c r="O37" s="160" t="str">
        <f t="shared" ref="O37:P37" si="13">IF(O34&gt;$D$13, "Undervalued","Overvalued")</f>
        <v>Overvalued</v>
      </c>
      <c r="P37" t="str">
        <f t="shared" si="13"/>
        <v>Overvalued</v>
      </c>
    </row>
  </sheetData>
  <mergeCells count="4">
    <mergeCell ref="D8:I8"/>
    <mergeCell ref="M8:P8"/>
    <mergeCell ref="J8:L8"/>
    <mergeCell ref="B2:P2"/>
  </mergeCells>
  <pageMargins left="0.7" right="0.7" top="0.75" bottom="0.75" header="0.3" footer="0.3"/>
  <pageSetup scale="5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pageSetUpPr fitToPage="1"/>
  </sheetPr>
  <dimension ref="A1:K106"/>
  <sheetViews>
    <sheetView zoomScale="70" zoomScaleNormal="70" zoomScalePageLayoutView="120" workbookViewId="0">
      <pane xSplit="1" ySplit="1" topLeftCell="B12" activePane="bottomRight" state="frozen"/>
      <selection activeCell="C4" sqref="C4"/>
      <selection pane="topRight" activeCell="C4" sqref="C4"/>
      <selection pane="bottomLeft" activeCell="C4" sqref="C4"/>
      <selection pane="bottomRight" activeCell="H112" sqref="H112"/>
    </sheetView>
  </sheetViews>
  <sheetFormatPr defaultColWidth="8.77734375" defaultRowHeight="14.4" x14ac:dyDescent="0.3"/>
  <cols>
    <col min="1" max="1" width="32.77734375" style="3" customWidth="1"/>
    <col min="2" max="11" width="13.44140625" style="3" bestFit="1" customWidth="1"/>
    <col min="12" max="16384" width="8.77734375" style="3"/>
  </cols>
  <sheetData>
    <row r="1" spans="1:11" s="1" customFormat="1" x14ac:dyDescent="0.3">
      <c r="A1" s="1" t="s">
        <v>0</v>
      </c>
      <c r="B1" s="1" t="s">
        <v>33</v>
      </c>
      <c r="E1" s="211" t="str">
        <f>IF(B2&lt;&gt;B3, "A NEW VERSION OF THE WORKSHEET IS AVAILABLE", "")</f>
        <v/>
      </c>
      <c r="F1" s="211"/>
      <c r="G1" s="211"/>
      <c r="H1" s="211"/>
      <c r="I1" s="211"/>
      <c r="J1" s="211"/>
      <c r="K1" s="211"/>
    </row>
    <row r="2" spans="1:11" x14ac:dyDescent="0.3">
      <c r="A2" s="1" t="s">
        <v>31</v>
      </c>
      <c r="B2" s="3">
        <v>2.1</v>
      </c>
      <c r="E2" s="212" t="s">
        <v>22</v>
      </c>
      <c r="F2" s="212"/>
      <c r="G2" s="212"/>
      <c r="H2" s="212"/>
      <c r="I2" s="212"/>
      <c r="J2" s="212"/>
      <c r="K2" s="212"/>
    </row>
    <row r="3" spans="1:11" x14ac:dyDescent="0.3">
      <c r="A3" s="1" t="s">
        <v>32</v>
      </c>
      <c r="B3" s="3">
        <v>2.1</v>
      </c>
    </row>
    <row r="4" spans="1:11" x14ac:dyDescent="0.3">
      <c r="A4" s="1"/>
      <c r="E4" s="3" t="s">
        <v>33</v>
      </c>
    </row>
    <row r="5" spans="1:11" x14ac:dyDescent="0.3">
      <c r="A5" s="1" t="s">
        <v>34</v>
      </c>
    </row>
    <row r="6" spans="1:11" x14ac:dyDescent="0.3">
      <c r="A6" s="3" t="s">
        <v>28</v>
      </c>
      <c r="B6" s="3">
        <f>IF(B9&gt;0, B9/B8, 0)</f>
        <v>1248.4817721105119</v>
      </c>
    </row>
    <row r="7" spans="1:11" x14ac:dyDescent="0.3">
      <c r="A7" s="3" t="s">
        <v>17</v>
      </c>
      <c r="B7">
        <v>1</v>
      </c>
    </row>
    <row r="8" spans="1:11" x14ac:dyDescent="0.3">
      <c r="A8" s="3" t="s">
        <v>29</v>
      </c>
      <c r="B8">
        <v>183.51</v>
      </c>
    </row>
    <row r="9" spans="1:11" x14ac:dyDescent="0.3">
      <c r="A9" s="3" t="s">
        <v>44</v>
      </c>
      <c r="B9">
        <v>229108.89</v>
      </c>
    </row>
    <row r="15" spans="1:11" x14ac:dyDescent="0.3">
      <c r="A15" s="1" t="s">
        <v>23</v>
      </c>
    </row>
    <row r="16" spans="1:11" s="7" customFormat="1" x14ac:dyDescent="0.3">
      <c r="A16" s="6" t="s">
        <v>24</v>
      </c>
      <c r="B16" s="5">
        <v>42460</v>
      </c>
      <c r="C16" s="5">
        <v>42825</v>
      </c>
      <c r="D16" s="5">
        <v>43190</v>
      </c>
      <c r="E16" s="5">
        <v>43555</v>
      </c>
      <c r="F16" s="5">
        <v>43921</v>
      </c>
      <c r="G16" s="5">
        <v>44286</v>
      </c>
      <c r="H16" s="5">
        <v>44651</v>
      </c>
      <c r="I16" s="5">
        <v>45016</v>
      </c>
      <c r="J16" s="5">
        <v>45382</v>
      </c>
      <c r="K16" s="5">
        <v>45747</v>
      </c>
    </row>
    <row r="17" spans="1:11" s="4" customFormat="1" x14ac:dyDescent="0.3">
      <c r="A17" s="4" t="s">
        <v>1</v>
      </c>
      <c r="B17">
        <v>101964.72</v>
      </c>
      <c r="C17">
        <v>112299.42</v>
      </c>
      <c r="D17">
        <v>123249.07</v>
      </c>
      <c r="E17">
        <v>157668.99</v>
      </c>
      <c r="F17">
        <v>139816.65</v>
      </c>
      <c r="G17">
        <v>156477.4</v>
      </c>
      <c r="H17">
        <v>243959.17</v>
      </c>
      <c r="I17">
        <v>243352.69</v>
      </c>
      <c r="J17">
        <v>229170.78</v>
      </c>
      <c r="K17">
        <v>218542.51</v>
      </c>
    </row>
    <row r="18" spans="1:11" s="4" customFormat="1" x14ac:dyDescent="0.3">
      <c r="A18" s="3" t="s">
        <v>45</v>
      </c>
      <c r="B18">
        <v>38696.269999999997</v>
      </c>
      <c r="C18">
        <v>43843.03</v>
      </c>
      <c r="D18">
        <v>46137.01</v>
      </c>
      <c r="E18">
        <v>60877.05</v>
      </c>
      <c r="F18">
        <v>58039.99</v>
      </c>
      <c r="G18">
        <v>55100.81</v>
      </c>
      <c r="H18">
        <v>91076.61</v>
      </c>
      <c r="I18">
        <v>116597.19</v>
      </c>
      <c r="J18">
        <v>97506.39</v>
      </c>
      <c r="K18">
        <v>95097.3</v>
      </c>
    </row>
    <row r="19" spans="1:11" s="4" customFormat="1" x14ac:dyDescent="0.3">
      <c r="A19" s="3" t="s">
        <v>46</v>
      </c>
      <c r="B19">
        <v>-1925.19</v>
      </c>
      <c r="C19">
        <v>4538.13</v>
      </c>
      <c r="D19">
        <v>-99.31</v>
      </c>
      <c r="E19">
        <v>96.71</v>
      </c>
      <c r="F19">
        <v>565.24</v>
      </c>
      <c r="G19">
        <v>-1516.77</v>
      </c>
      <c r="H19">
        <v>7597.87</v>
      </c>
      <c r="I19">
        <v>3358.89</v>
      </c>
      <c r="J19">
        <v>-4409.3500000000004</v>
      </c>
      <c r="K19">
        <v>96.65</v>
      </c>
    </row>
    <row r="20" spans="1:11" s="4" customFormat="1" x14ac:dyDescent="0.3">
      <c r="A20" s="3" t="s">
        <v>47</v>
      </c>
      <c r="B20">
        <v>4993.8900000000003</v>
      </c>
      <c r="C20">
        <v>5220.83</v>
      </c>
      <c r="D20">
        <v>4440.43</v>
      </c>
      <c r="E20">
        <v>5316.56</v>
      </c>
      <c r="F20">
        <v>5319.92</v>
      </c>
      <c r="G20">
        <v>5708.42</v>
      </c>
      <c r="H20">
        <v>8028.29</v>
      </c>
      <c r="I20">
        <v>9526.91</v>
      </c>
      <c r="J20">
        <v>16612.61</v>
      </c>
      <c r="K20">
        <v>13124.85</v>
      </c>
    </row>
    <row r="21" spans="1:11" s="4" customFormat="1" x14ac:dyDescent="0.3">
      <c r="A21" s="3" t="s">
        <v>48</v>
      </c>
      <c r="B21">
        <v>16034.28</v>
      </c>
      <c r="C21">
        <v>15799.14</v>
      </c>
      <c r="D21">
        <v>16955.79</v>
      </c>
      <c r="E21">
        <v>20734.28</v>
      </c>
      <c r="F21">
        <v>21232.69</v>
      </c>
      <c r="G21">
        <v>20744.93</v>
      </c>
      <c r="H21">
        <v>28834.06</v>
      </c>
      <c r="I21">
        <v>33144.83</v>
      </c>
      <c r="J21">
        <v>40116.910000000003</v>
      </c>
      <c r="K21">
        <v>38700.5</v>
      </c>
    </row>
    <row r="22" spans="1:11" s="4" customFormat="1" x14ac:dyDescent="0.3">
      <c r="A22" s="3" t="s">
        <v>49</v>
      </c>
      <c r="B22">
        <v>17587.63</v>
      </c>
      <c r="C22">
        <v>17252.22</v>
      </c>
      <c r="D22">
        <v>17077.509999999998</v>
      </c>
      <c r="E22">
        <v>18758.87</v>
      </c>
      <c r="F22">
        <v>18533.580000000002</v>
      </c>
      <c r="G22">
        <v>19908.810000000001</v>
      </c>
      <c r="H22">
        <v>23264.1</v>
      </c>
      <c r="I22">
        <v>22419.32</v>
      </c>
      <c r="J22">
        <v>24509.58</v>
      </c>
      <c r="K22">
        <v>24888.99</v>
      </c>
    </row>
    <row r="23" spans="1:11" s="4" customFormat="1" x14ac:dyDescent="0.3">
      <c r="A23" s="3" t="s">
        <v>50</v>
      </c>
      <c r="B23">
        <v>12908.42</v>
      </c>
      <c r="C23">
        <v>13772.32</v>
      </c>
      <c r="D23">
        <v>14423.87</v>
      </c>
      <c r="E23">
        <v>16917.14</v>
      </c>
      <c r="F23">
        <v>15599.07</v>
      </c>
      <c r="G23">
        <v>17509.77</v>
      </c>
      <c r="H23">
        <v>27445.67</v>
      </c>
      <c r="I23">
        <v>25519.919999999998</v>
      </c>
      <c r="J23">
        <v>14453.57</v>
      </c>
      <c r="K23">
        <v>12137.26</v>
      </c>
    </row>
    <row r="24" spans="1:11" s="4" customFormat="1" x14ac:dyDescent="0.3">
      <c r="A24" s="3" t="s">
        <v>51</v>
      </c>
      <c r="B24">
        <v>10444.280000000001</v>
      </c>
      <c r="C24">
        <v>7806.38</v>
      </c>
      <c r="D24">
        <v>2681.96</v>
      </c>
      <c r="E24">
        <v>5843.58</v>
      </c>
      <c r="F24">
        <v>4193.58</v>
      </c>
      <c r="G24">
        <v>5483.63</v>
      </c>
      <c r="H24">
        <v>9418.36</v>
      </c>
      <c r="I24">
        <v>7203.25</v>
      </c>
      <c r="J24">
        <v>9314.4500000000007</v>
      </c>
      <c r="K24">
        <v>9391.81</v>
      </c>
    </row>
    <row r="25" spans="1:11" s="4" customFormat="1" x14ac:dyDescent="0.3">
      <c r="A25" s="4" t="s">
        <v>4</v>
      </c>
      <c r="B25">
        <v>10345.870000000001</v>
      </c>
      <c r="C25">
        <v>-3789.11</v>
      </c>
      <c r="D25">
        <v>10898.41</v>
      </c>
      <c r="E25">
        <v>1524.31</v>
      </c>
      <c r="F25">
        <v>-2883.63</v>
      </c>
      <c r="G25">
        <v>179.78</v>
      </c>
      <c r="H25">
        <v>1299.99</v>
      </c>
      <c r="I25">
        <v>1568.86</v>
      </c>
      <c r="J25">
        <v>-6005.23</v>
      </c>
      <c r="K25">
        <v>876.7</v>
      </c>
    </row>
    <row r="26" spans="1:11" s="4" customFormat="1" x14ac:dyDescent="0.3">
      <c r="A26" s="4" t="s">
        <v>5</v>
      </c>
      <c r="B26">
        <v>5306.35</v>
      </c>
      <c r="C26">
        <v>5672.88</v>
      </c>
      <c r="D26">
        <v>5741.7</v>
      </c>
      <c r="E26">
        <v>7341.83</v>
      </c>
      <c r="F26">
        <v>8440.73</v>
      </c>
      <c r="G26">
        <v>9233.64</v>
      </c>
      <c r="H26">
        <v>9100.8700000000008</v>
      </c>
      <c r="I26">
        <v>9335.2000000000007</v>
      </c>
      <c r="J26">
        <v>9882.16</v>
      </c>
      <c r="K26">
        <v>10421.33</v>
      </c>
    </row>
    <row r="27" spans="1:11" s="4" customFormat="1" x14ac:dyDescent="0.3">
      <c r="A27" s="4" t="s">
        <v>6</v>
      </c>
      <c r="B27">
        <v>4221.41</v>
      </c>
      <c r="C27">
        <v>5072.2</v>
      </c>
      <c r="D27">
        <v>5454.74</v>
      </c>
      <c r="E27">
        <v>7660.1</v>
      </c>
      <c r="F27">
        <v>7533.46</v>
      </c>
      <c r="G27">
        <v>7606.71</v>
      </c>
      <c r="H27">
        <v>5462.2</v>
      </c>
      <c r="I27">
        <v>6298.7</v>
      </c>
      <c r="J27">
        <v>7507.57</v>
      </c>
      <c r="K27">
        <v>7340.95</v>
      </c>
    </row>
    <row r="28" spans="1:11" s="4" customFormat="1" x14ac:dyDescent="0.3">
      <c r="A28" s="4" t="s">
        <v>7</v>
      </c>
      <c r="B28">
        <v>192.87</v>
      </c>
      <c r="C28">
        <v>-1390.56</v>
      </c>
      <c r="D28">
        <v>21135.16</v>
      </c>
      <c r="E28">
        <v>15840.6</v>
      </c>
      <c r="F28">
        <v>-1394.76</v>
      </c>
      <c r="G28">
        <v>13843.69</v>
      </c>
      <c r="H28">
        <v>50226.87</v>
      </c>
      <c r="I28">
        <v>18235.12</v>
      </c>
      <c r="J28">
        <v>-1147.04</v>
      </c>
      <c r="K28">
        <v>8412.8700000000008</v>
      </c>
    </row>
    <row r="29" spans="1:11" s="4" customFormat="1" x14ac:dyDescent="0.3">
      <c r="A29" s="4" t="s">
        <v>8</v>
      </c>
      <c r="B29">
        <v>689.96</v>
      </c>
      <c r="C29">
        <v>2778.01</v>
      </c>
      <c r="D29">
        <v>3392.33</v>
      </c>
      <c r="E29">
        <v>6718.43</v>
      </c>
      <c r="F29">
        <v>-2568.41</v>
      </c>
      <c r="G29">
        <v>5653.9</v>
      </c>
      <c r="H29">
        <v>8477.5499999999993</v>
      </c>
      <c r="I29">
        <v>10159.77</v>
      </c>
      <c r="J29">
        <v>3762.57</v>
      </c>
      <c r="K29">
        <v>5239.09</v>
      </c>
    </row>
    <row r="30" spans="1:11" s="4" customFormat="1" x14ac:dyDescent="0.3">
      <c r="A30" s="4" t="s">
        <v>9</v>
      </c>
      <c r="B30">
        <v>-382.78</v>
      </c>
      <c r="C30">
        <v>-4240.8</v>
      </c>
      <c r="D30">
        <v>13434.33</v>
      </c>
      <c r="E30">
        <v>10218.33</v>
      </c>
      <c r="F30">
        <v>1556.54</v>
      </c>
      <c r="G30">
        <v>7490.22</v>
      </c>
      <c r="H30">
        <v>40153.93</v>
      </c>
      <c r="I30">
        <v>8760.4</v>
      </c>
      <c r="J30">
        <v>-4437.4399999999996</v>
      </c>
      <c r="K30">
        <v>3420.51</v>
      </c>
    </row>
    <row r="31" spans="1:11" s="4" customFormat="1" x14ac:dyDescent="0.3">
      <c r="A31" s="4" t="s">
        <v>35</v>
      </c>
      <c r="B31">
        <v>776.19</v>
      </c>
      <c r="C31">
        <v>970.24</v>
      </c>
      <c r="D31">
        <v>1144.95</v>
      </c>
      <c r="E31">
        <v>1488.42</v>
      </c>
      <c r="F31">
        <v>1144.95</v>
      </c>
      <c r="G31">
        <v>2994.02</v>
      </c>
      <c r="H31">
        <v>6228.17</v>
      </c>
      <c r="I31">
        <v>4396.46</v>
      </c>
      <c r="J31">
        <v>4490.78</v>
      </c>
      <c r="K31">
        <v>4490.78</v>
      </c>
    </row>
    <row r="32" spans="1:11" x14ac:dyDescent="0.3">
      <c r="A32" s="4" t="s">
        <v>63</v>
      </c>
      <c r="B32" s="3">
        <f>B26+B27+B29+B30</f>
        <v>9834.94</v>
      </c>
      <c r="C32" s="3">
        <f t="shared" ref="C32:K32" si="0">C26+C27+C29+C30</f>
        <v>9282.2900000000009</v>
      </c>
      <c r="D32" s="3">
        <f t="shared" si="0"/>
        <v>28023.1</v>
      </c>
      <c r="E32" s="3">
        <f t="shared" si="0"/>
        <v>31938.690000000002</v>
      </c>
      <c r="F32" s="3">
        <f t="shared" si="0"/>
        <v>14962.32</v>
      </c>
      <c r="G32" s="3">
        <f t="shared" si="0"/>
        <v>29984.47</v>
      </c>
      <c r="H32" s="3">
        <f t="shared" si="0"/>
        <v>63194.55</v>
      </c>
      <c r="I32" s="3">
        <f t="shared" si="0"/>
        <v>34554.07</v>
      </c>
      <c r="J32" s="3">
        <f t="shared" si="0"/>
        <v>16714.86</v>
      </c>
      <c r="K32" s="3">
        <f t="shared" si="0"/>
        <v>26421.879999999997</v>
      </c>
    </row>
    <row r="33" spans="1:11" x14ac:dyDescent="0.3">
      <c r="A33" s="4"/>
    </row>
    <row r="34" spans="1:11" x14ac:dyDescent="0.3">
      <c r="A34" s="4"/>
    </row>
    <row r="35" spans="1:11" x14ac:dyDescent="0.3">
      <c r="A35" s="4"/>
    </row>
    <row r="36" spans="1:11" x14ac:dyDescent="0.3">
      <c r="A36" s="4" t="s">
        <v>529</v>
      </c>
      <c r="B36" s="3">
        <f>G93/G90</f>
        <v>14.738145091760069</v>
      </c>
    </row>
    <row r="37" spans="1:11" x14ac:dyDescent="0.3">
      <c r="A37" s="4"/>
    </row>
    <row r="38" spans="1:11" x14ac:dyDescent="0.3">
      <c r="A38" s="4"/>
    </row>
    <row r="39" spans="1:11" x14ac:dyDescent="0.3">
      <c r="A39" s="1" t="s">
        <v>25</v>
      </c>
    </row>
    <row r="40" spans="1:11" s="7" customFormat="1" x14ac:dyDescent="0.3">
      <c r="A40" s="6" t="s">
        <v>24</v>
      </c>
      <c r="B40" s="5">
        <v>45199</v>
      </c>
      <c r="C40" s="5">
        <v>45291</v>
      </c>
      <c r="D40" s="5">
        <v>45382</v>
      </c>
      <c r="E40" s="5">
        <v>45473</v>
      </c>
      <c r="F40" s="5">
        <v>45565</v>
      </c>
      <c r="G40" s="5">
        <v>45657</v>
      </c>
      <c r="H40" s="5">
        <v>45747</v>
      </c>
      <c r="I40" s="5">
        <v>45838</v>
      </c>
      <c r="J40" s="5">
        <v>45930</v>
      </c>
      <c r="K40" s="5">
        <v>46022</v>
      </c>
    </row>
    <row r="41" spans="1:11" s="4" customFormat="1" x14ac:dyDescent="0.3">
      <c r="A41" s="4" t="s">
        <v>1</v>
      </c>
      <c r="B41">
        <v>55681.93</v>
      </c>
      <c r="C41">
        <v>55311.88</v>
      </c>
      <c r="D41">
        <v>58687.31</v>
      </c>
      <c r="E41">
        <v>54771.39</v>
      </c>
      <c r="F41">
        <v>53904.71</v>
      </c>
      <c r="G41">
        <v>53648.3</v>
      </c>
      <c r="H41">
        <v>56218.11</v>
      </c>
      <c r="I41">
        <v>53178.12</v>
      </c>
      <c r="J41">
        <v>58689.29</v>
      </c>
      <c r="K41">
        <v>57002.400000000001</v>
      </c>
    </row>
    <row r="42" spans="1:11" s="4" customFormat="1" x14ac:dyDescent="0.3">
      <c r="A42" s="4" t="s">
        <v>2</v>
      </c>
      <c r="B42">
        <v>51414.11</v>
      </c>
      <c r="C42">
        <v>49048.31</v>
      </c>
      <c r="D42">
        <v>52086.68</v>
      </c>
      <c r="E42">
        <v>48076.92</v>
      </c>
      <c r="F42">
        <v>47788.92</v>
      </c>
      <c r="G42">
        <v>47744.81</v>
      </c>
      <c r="H42">
        <v>49658.89</v>
      </c>
      <c r="I42">
        <v>45750.58</v>
      </c>
      <c r="J42">
        <v>49792.75</v>
      </c>
      <c r="K42">
        <v>48802.7</v>
      </c>
    </row>
    <row r="43" spans="1:11" s="4" customFormat="1" x14ac:dyDescent="0.3">
      <c r="A43" s="4" t="s">
        <v>4</v>
      </c>
      <c r="B43">
        <v>-6567.77</v>
      </c>
      <c r="C43">
        <v>-32.840000000000003</v>
      </c>
      <c r="D43">
        <v>-381.56</v>
      </c>
      <c r="E43">
        <v>-5.51</v>
      </c>
      <c r="F43">
        <v>616.67999999999995</v>
      </c>
      <c r="G43">
        <v>141.82</v>
      </c>
      <c r="H43">
        <v>149.19</v>
      </c>
      <c r="I43">
        <v>236.27</v>
      </c>
      <c r="J43">
        <v>-6.11</v>
      </c>
      <c r="K43">
        <v>465.17</v>
      </c>
    </row>
    <row r="44" spans="1:11" s="4" customFormat="1" x14ac:dyDescent="0.3">
      <c r="A44" s="4" t="s">
        <v>5</v>
      </c>
      <c r="B44">
        <v>2479.85</v>
      </c>
      <c r="C44">
        <v>2422.04</v>
      </c>
      <c r="D44">
        <v>2567.9499999999998</v>
      </c>
      <c r="E44">
        <v>2535.4299999999998</v>
      </c>
      <c r="F44">
        <v>2596.7399999999998</v>
      </c>
      <c r="G44">
        <v>2569.19</v>
      </c>
      <c r="H44">
        <v>2719.97</v>
      </c>
      <c r="I44">
        <v>2744.3</v>
      </c>
      <c r="J44">
        <v>2893</v>
      </c>
      <c r="K44">
        <v>3048.81</v>
      </c>
    </row>
    <row r="45" spans="1:11" s="4" customFormat="1" x14ac:dyDescent="0.3">
      <c r="A45" s="4" t="s">
        <v>6</v>
      </c>
      <c r="B45">
        <v>1959.39</v>
      </c>
      <c r="C45">
        <v>1880.78</v>
      </c>
      <c r="D45">
        <v>1842.25</v>
      </c>
      <c r="E45">
        <v>1776.71</v>
      </c>
      <c r="F45">
        <v>1971.4</v>
      </c>
      <c r="G45">
        <v>1804.09</v>
      </c>
      <c r="H45">
        <v>1788.75</v>
      </c>
      <c r="I45">
        <v>1852.43</v>
      </c>
      <c r="J45">
        <v>1774.96</v>
      </c>
      <c r="K45">
        <v>1747.29</v>
      </c>
    </row>
    <row r="46" spans="1:11" s="4" customFormat="1" x14ac:dyDescent="0.3">
      <c r="A46" s="4" t="s">
        <v>7</v>
      </c>
      <c r="B46">
        <v>-6739.19</v>
      </c>
      <c r="C46">
        <v>1927.91</v>
      </c>
      <c r="D46">
        <v>1808.87</v>
      </c>
      <c r="E46">
        <v>2376.8200000000002</v>
      </c>
      <c r="F46">
        <v>2164.33</v>
      </c>
      <c r="G46">
        <v>1672.03</v>
      </c>
      <c r="H46">
        <v>2199.69</v>
      </c>
      <c r="I46">
        <v>3067.08</v>
      </c>
      <c r="J46">
        <v>4222.47</v>
      </c>
      <c r="K46">
        <v>3868.77</v>
      </c>
    </row>
    <row r="47" spans="1:11" s="4" customFormat="1" x14ac:dyDescent="0.3">
      <c r="A47" s="4" t="s">
        <v>8</v>
      </c>
      <c r="B47">
        <v>-228.03</v>
      </c>
      <c r="C47">
        <v>1405.77</v>
      </c>
      <c r="D47">
        <v>1254.31</v>
      </c>
      <c r="E47">
        <v>1458.25</v>
      </c>
      <c r="F47">
        <v>1405.49</v>
      </c>
      <c r="G47">
        <v>1376.54</v>
      </c>
      <c r="H47">
        <v>998.81</v>
      </c>
      <c r="I47">
        <v>1059.72</v>
      </c>
      <c r="J47">
        <v>1039.3800000000001</v>
      </c>
      <c r="K47">
        <v>1138.4000000000001</v>
      </c>
    </row>
    <row r="48" spans="1:11" s="4" customFormat="1" x14ac:dyDescent="0.3">
      <c r="A48" s="4" t="s">
        <v>9</v>
      </c>
      <c r="B48">
        <v>-6196.24</v>
      </c>
      <c r="C48">
        <v>513.37</v>
      </c>
      <c r="D48">
        <v>611.48</v>
      </c>
      <c r="E48">
        <v>959.61</v>
      </c>
      <c r="F48">
        <v>833.45</v>
      </c>
      <c r="G48">
        <v>326.64</v>
      </c>
      <c r="H48">
        <v>1300.81</v>
      </c>
      <c r="I48">
        <v>2077.6799999999998</v>
      </c>
      <c r="J48">
        <v>3101.75</v>
      </c>
      <c r="K48">
        <v>2688.7</v>
      </c>
    </row>
    <row r="49" spans="1:11" x14ac:dyDescent="0.3">
      <c r="A49" s="4" t="s">
        <v>3</v>
      </c>
      <c r="B49">
        <v>4267.82</v>
      </c>
      <c r="C49">
        <v>6263.57</v>
      </c>
      <c r="D49">
        <v>6600.63</v>
      </c>
      <c r="E49">
        <v>6694.47</v>
      </c>
      <c r="F49">
        <v>6115.79</v>
      </c>
      <c r="G49">
        <v>5903.49</v>
      </c>
      <c r="H49">
        <v>6559.22</v>
      </c>
      <c r="I49">
        <v>7427.54</v>
      </c>
      <c r="J49">
        <v>8896.5400000000009</v>
      </c>
      <c r="K49">
        <v>8199.7000000000007</v>
      </c>
    </row>
    <row r="50" spans="1:11" x14ac:dyDescent="0.3">
      <c r="A50" s="4"/>
    </row>
    <row r="51" spans="1:11" x14ac:dyDescent="0.3">
      <c r="A51" s="4" t="s">
        <v>63</v>
      </c>
      <c r="B51" s="3">
        <f>B48+B47+B45+B44</f>
        <v>-1985.0299999999993</v>
      </c>
      <c r="C51" s="3">
        <f t="shared" ref="C51:K51" si="1">C48+C47+C45+C44</f>
        <v>6221.96</v>
      </c>
      <c r="D51" s="3">
        <f t="shared" si="1"/>
        <v>6275.99</v>
      </c>
      <c r="E51" s="3">
        <f t="shared" si="1"/>
        <v>6730</v>
      </c>
      <c r="F51" s="3">
        <f t="shared" si="1"/>
        <v>6807.08</v>
      </c>
      <c r="G51" s="3">
        <f t="shared" si="1"/>
        <v>6076.4599999999991</v>
      </c>
      <c r="H51" s="3">
        <f t="shared" si="1"/>
        <v>6808.34</v>
      </c>
      <c r="I51" s="3">
        <f t="shared" si="1"/>
        <v>7734.13</v>
      </c>
      <c r="J51" s="3">
        <f t="shared" si="1"/>
        <v>8809.09</v>
      </c>
      <c r="K51" s="3">
        <f t="shared" si="1"/>
        <v>8623.1999999999989</v>
      </c>
    </row>
    <row r="52" spans="1:11" x14ac:dyDescent="0.3">
      <c r="A52" s="4"/>
    </row>
    <row r="53" spans="1:11" x14ac:dyDescent="0.3">
      <c r="A53" s="4"/>
    </row>
    <row r="54" spans="1:11" x14ac:dyDescent="0.3">
      <c r="A54" s="1" t="s">
        <v>26</v>
      </c>
    </row>
    <row r="55" spans="1:11" s="7" customFormat="1" x14ac:dyDescent="0.3">
      <c r="A55" s="6" t="s">
        <v>24</v>
      </c>
      <c r="B55" s="5">
        <v>42460</v>
      </c>
      <c r="C55" s="5">
        <v>42825</v>
      </c>
      <c r="D55" s="5">
        <v>43190</v>
      </c>
      <c r="E55" s="5">
        <v>43555</v>
      </c>
      <c r="F55" s="5">
        <v>43921</v>
      </c>
      <c r="G55" s="5">
        <v>44286</v>
      </c>
      <c r="H55" s="5">
        <v>44651</v>
      </c>
      <c r="I55" s="5">
        <v>45016</v>
      </c>
      <c r="J55" s="5">
        <v>45382</v>
      </c>
      <c r="K55" s="5">
        <v>45747</v>
      </c>
    </row>
    <row r="56" spans="1:11" x14ac:dyDescent="0.3">
      <c r="A56" s="4" t="s">
        <v>11</v>
      </c>
      <c r="B56">
        <v>970.24</v>
      </c>
      <c r="C56">
        <v>970.24</v>
      </c>
      <c r="D56">
        <v>1144.95</v>
      </c>
      <c r="E56">
        <v>1144.94</v>
      </c>
      <c r="F56">
        <v>1144.95</v>
      </c>
      <c r="G56">
        <v>1197.6099999999999</v>
      </c>
      <c r="H56">
        <v>1221.21</v>
      </c>
      <c r="I56">
        <v>1221.24</v>
      </c>
      <c r="J56">
        <v>1247.44</v>
      </c>
      <c r="K56">
        <v>1247.44</v>
      </c>
    </row>
    <row r="57" spans="1:11" x14ac:dyDescent="0.3">
      <c r="A57" s="4" t="s">
        <v>12</v>
      </c>
      <c r="B57">
        <v>42762.31</v>
      </c>
      <c r="C57">
        <v>36849.08</v>
      </c>
      <c r="D57">
        <v>59725.67</v>
      </c>
      <c r="E57">
        <v>67780.14</v>
      </c>
      <c r="F57">
        <v>72431.350000000006</v>
      </c>
      <c r="G57">
        <v>73041.16</v>
      </c>
      <c r="H57">
        <v>113221.83</v>
      </c>
      <c r="I57">
        <v>101860.86</v>
      </c>
      <c r="J57">
        <v>90788.32</v>
      </c>
      <c r="K57">
        <v>89922.19</v>
      </c>
    </row>
    <row r="58" spans="1:11" x14ac:dyDescent="0.3">
      <c r="A58" s="4" t="s">
        <v>36</v>
      </c>
      <c r="B58">
        <v>81986.929999999993</v>
      </c>
      <c r="C58">
        <v>83014.490000000005</v>
      </c>
      <c r="D58">
        <v>92147.05</v>
      </c>
      <c r="E58">
        <v>100816.22</v>
      </c>
      <c r="F58">
        <v>116328.2</v>
      </c>
      <c r="G58">
        <v>88501.41</v>
      </c>
      <c r="H58">
        <v>75561.350000000006</v>
      </c>
      <c r="I58">
        <v>84893.05</v>
      </c>
      <c r="J58">
        <v>87082.12</v>
      </c>
      <c r="K58">
        <v>94801.05</v>
      </c>
    </row>
    <row r="59" spans="1:11" x14ac:dyDescent="0.3">
      <c r="A59" s="4" t="s">
        <v>37</v>
      </c>
      <c r="B59">
        <v>51164.51</v>
      </c>
      <c r="C59">
        <v>51613.56</v>
      </c>
      <c r="D59">
        <v>55704.47</v>
      </c>
      <c r="E59">
        <v>63032.14</v>
      </c>
      <c r="F59">
        <v>59244.62</v>
      </c>
      <c r="G59">
        <v>81169.009999999995</v>
      </c>
      <c r="H59">
        <v>92417.279999999999</v>
      </c>
      <c r="I59">
        <v>97420.63</v>
      </c>
      <c r="J59">
        <v>90194.54</v>
      </c>
      <c r="K59">
        <v>89487.9</v>
      </c>
    </row>
    <row r="60" spans="1:11" s="1" customFormat="1" x14ac:dyDescent="0.3">
      <c r="A60" s="1" t="s">
        <v>13</v>
      </c>
      <c r="B60">
        <v>176883.99</v>
      </c>
      <c r="C60">
        <v>172447.37</v>
      </c>
      <c r="D60">
        <v>208722.14</v>
      </c>
      <c r="E60">
        <v>232773.44</v>
      </c>
      <c r="F60">
        <v>249149.12</v>
      </c>
      <c r="G60">
        <v>243909.19</v>
      </c>
      <c r="H60">
        <v>282421.67</v>
      </c>
      <c r="I60">
        <v>285395.78000000003</v>
      </c>
      <c r="J60">
        <v>269312.42</v>
      </c>
      <c r="K60">
        <v>275458.58</v>
      </c>
    </row>
    <row r="61" spans="1:11" x14ac:dyDescent="0.3">
      <c r="A61" s="4" t="s">
        <v>14</v>
      </c>
      <c r="B61">
        <v>72199.759999999995</v>
      </c>
      <c r="C61">
        <v>92006.55</v>
      </c>
      <c r="D61">
        <v>96104.89</v>
      </c>
      <c r="E61">
        <v>124441.91</v>
      </c>
      <c r="F61">
        <v>134550.66</v>
      </c>
      <c r="G61">
        <v>135775.18</v>
      </c>
      <c r="H61">
        <v>133287.82999999999</v>
      </c>
      <c r="I61">
        <v>146621.46</v>
      </c>
      <c r="J61">
        <v>148814.38</v>
      </c>
      <c r="K61">
        <v>150914.06</v>
      </c>
    </row>
    <row r="62" spans="1:11" x14ac:dyDescent="0.3">
      <c r="A62" s="4" t="s">
        <v>15</v>
      </c>
      <c r="B62">
        <v>35996.089999999997</v>
      </c>
      <c r="C62">
        <v>15784.13</v>
      </c>
      <c r="D62">
        <v>16614.41</v>
      </c>
      <c r="E62">
        <v>18641.21</v>
      </c>
      <c r="F62">
        <v>19496.830000000002</v>
      </c>
      <c r="G62">
        <v>19007.400000000001</v>
      </c>
      <c r="H62">
        <v>22045.55</v>
      </c>
      <c r="I62">
        <v>31213.02</v>
      </c>
      <c r="J62">
        <v>34355.53</v>
      </c>
      <c r="K62">
        <v>41622.35</v>
      </c>
    </row>
    <row r="63" spans="1:11" x14ac:dyDescent="0.3">
      <c r="A63" s="4" t="s">
        <v>16</v>
      </c>
      <c r="B63">
        <v>10713.71</v>
      </c>
      <c r="C63">
        <v>12457.12</v>
      </c>
      <c r="D63">
        <v>17899.47</v>
      </c>
      <c r="E63">
        <v>5738.17</v>
      </c>
      <c r="F63">
        <v>6285.18</v>
      </c>
      <c r="G63">
        <v>10681.93</v>
      </c>
      <c r="H63">
        <v>13139.85</v>
      </c>
      <c r="I63">
        <v>8410.31</v>
      </c>
      <c r="J63">
        <v>6257.57</v>
      </c>
      <c r="K63">
        <v>6194.11</v>
      </c>
    </row>
    <row r="64" spans="1:11" x14ac:dyDescent="0.3">
      <c r="A64" s="4" t="s">
        <v>38</v>
      </c>
      <c r="B64">
        <v>57974.43</v>
      </c>
      <c r="C64">
        <v>52199.57</v>
      </c>
      <c r="D64">
        <v>78103.37</v>
      </c>
      <c r="E64">
        <v>83952.15</v>
      </c>
      <c r="F64">
        <v>88816.45</v>
      </c>
      <c r="G64">
        <v>78444.679999999993</v>
      </c>
      <c r="H64">
        <v>113948.44</v>
      </c>
      <c r="I64">
        <v>99150.99</v>
      </c>
      <c r="J64">
        <v>79884.94</v>
      </c>
      <c r="K64">
        <v>76728.06</v>
      </c>
    </row>
    <row r="65" spans="1:11" s="1" customFormat="1" x14ac:dyDescent="0.3">
      <c r="A65" s="1" t="s">
        <v>13</v>
      </c>
      <c r="B65">
        <v>176883.99</v>
      </c>
      <c r="C65">
        <v>172447.37</v>
      </c>
      <c r="D65">
        <v>208722.14</v>
      </c>
      <c r="E65">
        <v>232773.44</v>
      </c>
      <c r="F65">
        <v>249149.12</v>
      </c>
      <c r="G65">
        <v>243909.19</v>
      </c>
      <c r="H65">
        <v>282421.67</v>
      </c>
      <c r="I65">
        <v>285395.78000000003</v>
      </c>
      <c r="J65">
        <v>269312.42</v>
      </c>
      <c r="K65">
        <v>275458.58</v>
      </c>
    </row>
    <row r="66" spans="1:11" s="4" customFormat="1" x14ac:dyDescent="0.3">
      <c r="A66" s="4" t="s">
        <v>43</v>
      </c>
      <c r="B66">
        <v>12066.22</v>
      </c>
      <c r="C66">
        <v>11586.82</v>
      </c>
      <c r="D66">
        <v>12415.52</v>
      </c>
      <c r="E66">
        <v>11811</v>
      </c>
      <c r="F66">
        <v>7884.91</v>
      </c>
      <c r="G66">
        <v>9539.84</v>
      </c>
      <c r="H66">
        <v>12246.43</v>
      </c>
      <c r="I66">
        <v>8257.24</v>
      </c>
      <c r="J66">
        <v>6263.53</v>
      </c>
      <c r="K66">
        <v>5260.06</v>
      </c>
    </row>
    <row r="67" spans="1:11" x14ac:dyDescent="0.3">
      <c r="A67" s="4" t="s">
        <v>30</v>
      </c>
      <c r="B67">
        <v>20013.330000000002</v>
      </c>
      <c r="C67">
        <v>24803.82</v>
      </c>
      <c r="D67">
        <v>28331.040000000001</v>
      </c>
      <c r="E67">
        <v>31656.1</v>
      </c>
      <c r="F67">
        <v>31068.720000000001</v>
      </c>
      <c r="G67">
        <v>33276.379999999997</v>
      </c>
      <c r="H67">
        <v>48824.39</v>
      </c>
      <c r="I67">
        <v>54415.33</v>
      </c>
      <c r="J67">
        <v>49157.51</v>
      </c>
      <c r="K67">
        <v>44589.94</v>
      </c>
    </row>
    <row r="68" spans="1:11" x14ac:dyDescent="0.3">
      <c r="A68" s="3" t="s">
        <v>52</v>
      </c>
      <c r="B68">
        <v>6186.34</v>
      </c>
      <c r="C68">
        <v>4921.05</v>
      </c>
      <c r="D68">
        <v>7937.85</v>
      </c>
      <c r="E68">
        <v>3341.37</v>
      </c>
      <c r="F68">
        <v>8054.72</v>
      </c>
      <c r="G68">
        <v>5782.18</v>
      </c>
      <c r="H68">
        <v>15898.93</v>
      </c>
      <c r="I68">
        <v>13357.26</v>
      </c>
      <c r="J68">
        <v>8677.7199999999993</v>
      </c>
      <c r="K68">
        <v>11646.98</v>
      </c>
    </row>
    <row r="69" spans="1:11" x14ac:dyDescent="0.3">
      <c r="A69" s="3" t="s">
        <v>39</v>
      </c>
      <c r="B69">
        <v>970436562</v>
      </c>
      <c r="C69">
        <v>970436562</v>
      </c>
      <c r="D69">
        <v>1203340563</v>
      </c>
      <c r="E69">
        <v>1203331928</v>
      </c>
      <c r="F69">
        <v>1203332459</v>
      </c>
      <c r="G69">
        <v>1203334622</v>
      </c>
      <c r="H69">
        <v>1221566453</v>
      </c>
      <c r="I69">
        <v>12212353070</v>
      </c>
      <c r="J69">
        <v>12474347611</v>
      </c>
      <c r="K69">
        <v>12474347611</v>
      </c>
    </row>
    <row r="70" spans="1:11" x14ac:dyDescent="0.3">
      <c r="A70" s="3" t="s">
        <v>40</v>
      </c>
    </row>
    <row r="71" spans="1:11" x14ac:dyDescent="0.3">
      <c r="A71" s="3" t="s">
        <v>53</v>
      </c>
      <c r="B71">
        <v>10</v>
      </c>
      <c r="C71">
        <v>10</v>
      </c>
      <c r="D71">
        <v>10</v>
      </c>
      <c r="E71">
        <v>10</v>
      </c>
      <c r="F71">
        <v>10</v>
      </c>
      <c r="G71">
        <v>10</v>
      </c>
      <c r="H71">
        <v>10</v>
      </c>
      <c r="I71">
        <v>1</v>
      </c>
      <c r="J71">
        <v>1</v>
      </c>
      <c r="K71">
        <v>1</v>
      </c>
    </row>
    <row r="73" spans="1:11" x14ac:dyDescent="0.3">
      <c r="A73" s="3" t="s">
        <v>38</v>
      </c>
      <c r="B73" s="3">
        <f>B64-SUM(B66:B68)</f>
        <v>19708.54</v>
      </c>
      <c r="C73" s="3">
        <f t="shared" ref="C73:K73" si="2">C64-SUM(C66:C68)</f>
        <v>10887.879999999997</v>
      </c>
      <c r="D73" s="3">
        <f t="shared" si="2"/>
        <v>29418.959999999999</v>
      </c>
      <c r="E73" s="3">
        <f t="shared" si="2"/>
        <v>37143.679999999993</v>
      </c>
      <c r="F73" s="3">
        <f t="shared" si="2"/>
        <v>41808.099999999991</v>
      </c>
      <c r="G73" s="3">
        <f t="shared" si="2"/>
        <v>29846.279999999992</v>
      </c>
      <c r="H73" s="3">
        <f t="shared" si="2"/>
        <v>36978.69</v>
      </c>
      <c r="I73" s="3">
        <f t="shared" si="2"/>
        <v>23121.160000000003</v>
      </c>
      <c r="J73" s="3">
        <f t="shared" si="2"/>
        <v>15786.18</v>
      </c>
      <c r="K73" s="3">
        <f t="shared" si="2"/>
        <v>15231.080000000002</v>
      </c>
    </row>
    <row r="74" spans="1:11" x14ac:dyDescent="0.3">
      <c r="A74" s="4" t="s">
        <v>256</v>
      </c>
      <c r="B74" s="3">
        <f>B60</f>
        <v>176883.99</v>
      </c>
      <c r="C74" s="3">
        <f t="shared" ref="C74:K74" si="3">C60</f>
        <v>172447.37</v>
      </c>
      <c r="D74" s="3">
        <f t="shared" si="3"/>
        <v>208722.14</v>
      </c>
      <c r="E74" s="3">
        <f t="shared" si="3"/>
        <v>232773.44</v>
      </c>
      <c r="F74" s="3">
        <f t="shared" si="3"/>
        <v>249149.12</v>
      </c>
      <c r="G74" s="3">
        <f t="shared" si="3"/>
        <v>243909.19</v>
      </c>
      <c r="H74" s="3">
        <f t="shared" si="3"/>
        <v>282421.67</v>
      </c>
      <c r="I74" s="3">
        <f t="shared" si="3"/>
        <v>285395.78000000003</v>
      </c>
      <c r="J74" s="3">
        <f t="shared" si="3"/>
        <v>269312.42</v>
      </c>
      <c r="K74" s="3">
        <f t="shared" si="3"/>
        <v>275458.58</v>
      </c>
    </row>
    <row r="75" spans="1:11" x14ac:dyDescent="0.3">
      <c r="A75" s="4"/>
    </row>
    <row r="76" spans="1:11" x14ac:dyDescent="0.3">
      <c r="A76" s="4"/>
    </row>
    <row r="77" spans="1:11" x14ac:dyDescent="0.3">
      <c r="A77" s="4"/>
    </row>
    <row r="78" spans="1:11" x14ac:dyDescent="0.3">
      <c r="A78" s="4"/>
    </row>
    <row r="79" spans="1:11" x14ac:dyDescent="0.3">
      <c r="A79" s="4"/>
    </row>
    <row r="80" spans="1:11" x14ac:dyDescent="0.3">
      <c r="A80" s="1" t="s">
        <v>27</v>
      </c>
    </row>
    <row r="81" spans="1:11" s="7" customFormat="1" x14ac:dyDescent="0.3">
      <c r="A81" s="6" t="s">
        <v>24</v>
      </c>
      <c r="B81" s="5">
        <v>42460</v>
      </c>
      <c r="C81" s="5">
        <v>42825</v>
      </c>
      <c r="D81" s="5">
        <v>43190</v>
      </c>
      <c r="E81" s="5">
        <v>43555</v>
      </c>
      <c r="F81" s="5">
        <v>43921</v>
      </c>
      <c r="G81" s="5">
        <v>44286</v>
      </c>
      <c r="H81" s="5">
        <v>44651</v>
      </c>
      <c r="I81" s="5">
        <v>45016</v>
      </c>
      <c r="J81" s="5">
        <v>45382</v>
      </c>
      <c r="K81" s="5">
        <v>45747</v>
      </c>
    </row>
    <row r="82" spans="1:11" s="1" customFormat="1" x14ac:dyDescent="0.3">
      <c r="A82" s="4" t="s">
        <v>18</v>
      </c>
      <c r="B82">
        <v>11455.35</v>
      </c>
      <c r="C82">
        <v>10824.36</v>
      </c>
      <c r="D82">
        <v>8023.39</v>
      </c>
      <c r="E82">
        <v>25335.95</v>
      </c>
      <c r="F82">
        <v>20168.72</v>
      </c>
      <c r="G82">
        <v>44326.68</v>
      </c>
      <c r="H82">
        <v>44380.99</v>
      </c>
      <c r="I82">
        <v>21683.08</v>
      </c>
      <c r="J82">
        <v>20300.669999999998</v>
      </c>
      <c r="K82">
        <v>23511.81</v>
      </c>
    </row>
    <row r="83" spans="1:11" s="4" customFormat="1" x14ac:dyDescent="0.3">
      <c r="A83" s="4" t="s">
        <v>19</v>
      </c>
      <c r="B83">
        <v>-8794.31</v>
      </c>
      <c r="C83">
        <v>-9489.65</v>
      </c>
      <c r="D83">
        <v>-11730.31</v>
      </c>
      <c r="E83">
        <v>-29176.45</v>
      </c>
      <c r="F83">
        <v>-14012.06</v>
      </c>
      <c r="G83">
        <v>-9437.27</v>
      </c>
      <c r="H83">
        <v>-10905.02</v>
      </c>
      <c r="I83">
        <v>-18179.45</v>
      </c>
      <c r="J83">
        <v>-14252.74</v>
      </c>
      <c r="K83">
        <v>-13985.25</v>
      </c>
    </row>
    <row r="84" spans="1:11" s="4" customFormat="1" x14ac:dyDescent="0.3">
      <c r="A84" s="4" t="s">
        <v>20</v>
      </c>
      <c r="B84">
        <v>-4729.12</v>
      </c>
      <c r="C84">
        <v>-2579.36</v>
      </c>
      <c r="D84">
        <v>6639.94</v>
      </c>
      <c r="E84">
        <v>-672.7</v>
      </c>
      <c r="F84">
        <v>-1694.62</v>
      </c>
      <c r="G84">
        <v>-37089.67</v>
      </c>
      <c r="H84">
        <v>-23401.09</v>
      </c>
      <c r="I84">
        <v>-6980.69</v>
      </c>
      <c r="J84">
        <v>-11096.99</v>
      </c>
      <c r="K84">
        <v>-7002.44</v>
      </c>
    </row>
    <row r="85" spans="1:11" s="1" customFormat="1" x14ac:dyDescent="0.3">
      <c r="A85" s="4" t="s">
        <v>21</v>
      </c>
      <c r="B85">
        <v>-2068.08</v>
      </c>
      <c r="C85">
        <v>-1244.6500000000001</v>
      </c>
      <c r="D85">
        <v>2933.02</v>
      </c>
      <c r="E85">
        <v>-4513.2</v>
      </c>
      <c r="F85">
        <v>4462.04</v>
      </c>
      <c r="G85">
        <v>-2200.2600000000002</v>
      </c>
      <c r="H85">
        <v>10074.879999999999</v>
      </c>
      <c r="I85">
        <v>-3477.06</v>
      </c>
      <c r="J85">
        <v>-5049.0600000000004</v>
      </c>
      <c r="K85">
        <v>2524.12</v>
      </c>
    </row>
    <row r="86" spans="1:11" x14ac:dyDescent="0.3">
      <c r="A86" s="4"/>
    </row>
    <row r="87" spans="1:11" x14ac:dyDescent="0.3">
      <c r="A87" s="4"/>
    </row>
    <row r="88" spans="1:11" x14ac:dyDescent="0.3">
      <c r="A88" s="4"/>
    </row>
    <row r="89" spans="1:11" x14ac:dyDescent="0.3">
      <c r="A89" s="4"/>
    </row>
    <row r="90" spans="1:11" s="1" customFormat="1" x14ac:dyDescent="0.3">
      <c r="A90" s="1" t="s">
        <v>42</v>
      </c>
      <c r="B90">
        <v>30.46</v>
      </c>
      <c r="C90">
        <v>45.99</v>
      </c>
      <c r="D90">
        <v>57.11</v>
      </c>
      <c r="E90">
        <v>52.1</v>
      </c>
      <c r="F90">
        <v>26.96</v>
      </c>
      <c r="G90">
        <v>81.19</v>
      </c>
      <c r="H90">
        <v>130.72</v>
      </c>
      <c r="I90">
        <v>104.5</v>
      </c>
      <c r="J90">
        <v>155.85</v>
      </c>
      <c r="K90">
        <v>154.24</v>
      </c>
    </row>
    <row r="92" spans="1:11" s="1" customFormat="1" x14ac:dyDescent="0.3">
      <c r="A92" s="1" t="s">
        <v>41</v>
      </c>
    </row>
    <row r="93" spans="1:11" x14ac:dyDescent="0.3">
      <c r="A93" s="3" t="s">
        <v>54</v>
      </c>
      <c r="B93" s="8">
        <v>1126.6199999999999</v>
      </c>
      <c r="C93" s="8">
        <v>1126.6199999999999</v>
      </c>
      <c r="D93" s="8">
        <v>1126.48</v>
      </c>
      <c r="E93" s="8">
        <v>1126.49</v>
      </c>
      <c r="F93" s="8">
        <v>1126.49</v>
      </c>
      <c r="G93" s="8">
        <v>1196.5899999999999</v>
      </c>
      <c r="H93" s="8">
        <v>1221.3</v>
      </c>
      <c r="I93" s="8">
        <v>1222.1500000000001</v>
      </c>
      <c r="J93" s="8">
        <v>1248.3499999999999</v>
      </c>
      <c r="K93" s="8">
        <v>1248.3499999999999</v>
      </c>
    </row>
    <row r="96" spans="1:11" x14ac:dyDescent="0.3">
      <c r="A96" s="3" t="s">
        <v>536</v>
      </c>
      <c r="B96" s="3">
        <f>B93*B90</f>
        <v>34316.845199999996</v>
      </c>
      <c r="C96" s="3">
        <f t="shared" ref="C96:K96" si="4">C93*C90</f>
        <v>51813.253799999999</v>
      </c>
      <c r="D96" s="3">
        <f t="shared" si="4"/>
        <v>64333.272799999999</v>
      </c>
      <c r="E96" s="3">
        <f t="shared" si="4"/>
        <v>58690.129000000001</v>
      </c>
      <c r="F96" s="3">
        <f t="shared" si="4"/>
        <v>30370.170400000003</v>
      </c>
      <c r="G96" s="3">
        <f t="shared" si="4"/>
        <v>97151.142099999997</v>
      </c>
      <c r="H96" s="3">
        <f t="shared" si="4"/>
        <v>159648.33599999998</v>
      </c>
      <c r="I96" s="3">
        <f t="shared" si="4"/>
        <v>127714.675</v>
      </c>
      <c r="J96" s="3">
        <f t="shared" si="4"/>
        <v>194555.34749999997</v>
      </c>
      <c r="K96" s="3">
        <f t="shared" si="4"/>
        <v>192545.50399999999</v>
      </c>
    </row>
    <row r="97" spans="1:11" x14ac:dyDescent="0.3">
      <c r="A97" s="3" t="s">
        <v>530</v>
      </c>
      <c r="B97" s="3">
        <f>B58</f>
        <v>81986.929999999993</v>
      </c>
      <c r="C97" s="3">
        <f t="shared" ref="C97:K97" si="5">C58</f>
        <v>83014.490000000005</v>
      </c>
      <c r="D97" s="3">
        <f t="shared" si="5"/>
        <v>92147.05</v>
      </c>
      <c r="E97" s="3">
        <f t="shared" si="5"/>
        <v>100816.22</v>
      </c>
      <c r="F97" s="3">
        <f t="shared" si="5"/>
        <v>116328.2</v>
      </c>
      <c r="G97" s="3">
        <f t="shared" si="5"/>
        <v>88501.41</v>
      </c>
      <c r="H97" s="3">
        <f t="shared" si="5"/>
        <v>75561.350000000006</v>
      </c>
      <c r="I97" s="3">
        <f t="shared" si="5"/>
        <v>84893.05</v>
      </c>
      <c r="J97" s="3">
        <f t="shared" si="5"/>
        <v>87082.12</v>
      </c>
      <c r="K97" s="3">
        <f t="shared" si="5"/>
        <v>94801.05</v>
      </c>
    </row>
    <row r="98" spans="1:11" x14ac:dyDescent="0.3">
      <c r="A98" s="3" t="s">
        <v>531</v>
      </c>
      <c r="B98" s="3">
        <f>B68</f>
        <v>6186.34</v>
      </c>
      <c r="C98" s="3">
        <f t="shared" ref="C98:J98" si="6">C68</f>
        <v>4921.05</v>
      </c>
      <c r="D98" s="3">
        <f t="shared" si="6"/>
        <v>7937.85</v>
      </c>
      <c r="E98" s="3">
        <f t="shared" si="6"/>
        <v>3341.37</v>
      </c>
      <c r="F98" s="3">
        <f t="shared" si="6"/>
        <v>8054.72</v>
      </c>
      <c r="G98" s="3">
        <f t="shared" si="6"/>
        <v>5782.18</v>
      </c>
      <c r="H98" s="3">
        <f t="shared" si="6"/>
        <v>15898.93</v>
      </c>
      <c r="I98" s="3">
        <f t="shared" si="6"/>
        <v>13357.26</v>
      </c>
      <c r="J98" s="3">
        <f t="shared" si="6"/>
        <v>8677.7199999999993</v>
      </c>
      <c r="K98" s="3">
        <f>K68</f>
        <v>11646.98</v>
      </c>
    </row>
    <row r="99" spans="1:11" x14ac:dyDescent="0.3">
      <c r="A99" s="3" t="s">
        <v>532</v>
      </c>
      <c r="B99" s="3">
        <f>B96+B97-B98</f>
        <v>110117.43519999999</v>
      </c>
      <c r="C99" s="3">
        <f t="shared" ref="C99:K99" si="7">C96+C97-C98</f>
        <v>129906.69379999999</v>
      </c>
      <c r="D99" s="3">
        <f t="shared" si="7"/>
        <v>148542.47279999999</v>
      </c>
      <c r="E99" s="3">
        <f t="shared" si="7"/>
        <v>156164.97899999999</v>
      </c>
      <c r="F99" s="3">
        <f t="shared" si="7"/>
        <v>138643.65040000001</v>
      </c>
      <c r="G99" s="3">
        <f t="shared" si="7"/>
        <v>179870.37210000001</v>
      </c>
      <c r="H99" s="3">
        <f t="shared" si="7"/>
        <v>219310.75599999999</v>
      </c>
      <c r="I99" s="3">
        <f t="shared" si="7"/>
        <v>199250.465</v>
      </c>
      <c r="J99" s="3">
        <f t="shared" si="7"/>
        <v>272959.7475</v>
      </c>
      <c r="K99" s="3">
        <f t="shared" si="7"/>
        <v>275699.57400000002</v>
      </c>
    </row>
    <row r="100" spans="1:11" x14ac:dyDescent="0.3">
      <c r="A100" s="3" t="s">
        <v>372</v>
      </c>
      <c r="B100" s="3">
        <f>B99/B51</f>
        <v>-55.473940041208458</v>
      </c>
      <c r="C100" s="3">
        <f t="shared" ref="C100:K100" si="8">C99/C51</f>
        <v>20.878741393387291</v>
      </c>
      <c r="D100" s="3">
        <f t="shared" si="8"/>
        <v>23.668373085361829</v>
      </c>
      <c r="E100" s="3">
        <f t="shared" si="8"/>
        <v>23.204305943536404</v>
      </c>
      <c r="F100" s="3">
        <f t="shared" si="8"/>
        <v>20.367565887282069</v>
      </c>
      <c r="G100" s="3">
        <f t="shared" si="8"/>
        <v>29.601177675817834</v>
      </c>
      <c r="H100" s="3">
        <f t="shared" si="8"/>
        <v>32.21207460261973</v>
      </c>
      <c r="I100" s="3">
        <f t="shared" si="8"/>
        <v>25.762492355313395</v>
      </c>
      <c r="J100" s="3">
        <f t="shared" si="8"/>
        <v>30.986145844803492</v>
      </c>
      <c r="K100" s="3">
        <f t="shared" si="8"/>
        <v>31.971840384080163</v>
      </c>
    </row>
    <row r="101" spans="1:11" x14ac:dyDescent="0.3">
      <c r="B101" s="3" t="e">
        <f>+A57:A68+'data sheet'!B48+'data sheet'!A57:A68+'data sheet'!E76</f>
        <v>#VALUE!</v>
      </c>
    </row>
    <row r="103" spans="1:11" x14ac:dyDescent="0.3">
      <c r="A103" s="3" t="s">
        <v>533</v>
      </c>
      <c r="B103" s="3">
        <f>B99/B17</f>
        <v>1.0799562358431425</v>
      </c>
      <c r="C103" s="3">
        <f t="shared" ref="C103:K103" si="9">C99/C17</f>
        <v>1.1567886441443775</v>
      </c>
      <c r="D103" s="3">
        <f t="shared" si="9"/>
        <v>1.205221855223735</v>
      </c>
      <c r="E103" s="3">
        <f t="shared" si="9"/>
        <v>0.99046095874654871</v>
      </c>
      <c r="F103" s="3">
        <f t="shared" si="9"/>
        <v>0.99161044410662125</v>
      </c>
      <c r="G103" s="3">
        <f t="shared" si="9"/>
        <v>1.1494974488328666</v>
      </c>
      <c r="H103" s="3">
        <f t="shared" si="9"/>
        <v>0.89896500303718851</v>
      </c>
      <c r="I103" s="3">
        <f t="shared" si="9"/>
        <v>0.81877239573558847</v>
      </c>
      <c r="J103" s="3">
        <f t="shared" si="9"/>
        <v>1.1910757012739581</v>
      </c>
      <c r="K103" s="3">
        <f t="shared" si="9"/>
        <v>1.2615375104825144</v>
      </c>
    </row>
    <row r="104" spans="1:11" x14ac:dyDescent="0.3">
      <c r="A104" s="3" t="s">
        <v>534</v>
      </c>
      <c r="B104" s="3">
        <f>B56+B57</f>
        <v>43732.549999999996</v>
      </c>
      <c r="C104" s="3">
        <f t="shared" ref="C104:K104" si="10">C56+C57</f>
        <v>37819.32</v>
      </c>
      <c r="D104" s="3">
        <f t="shared" si="10"/>
        <v>60870.619999999995</v>
      </c>
      <c r="E104" s="3">
        <f t="shared" si="10"/>
        <v>68925.08</v>
      </c>
      <c r="F104" s="3">
        <f t="shared" si="10"/>
        <v>73576.3</v>
      </c>
      <c r="G104" s="3">
        <f t="shared" si="10"/>
        <v>74238.77</v>
      </c>
      <c r="H104" s="3">
        <f t="shared" si="10"/>
        <v>114443.04000000001</v>
      </c>
      <c r="I104" s="3">
        <f t="shared" si="10"/>
        <v>103082.1</v>
      </c>
      <c r="J104" s="3">
        <f t="shared" si="10"/>
        <v>92035.760000000009</v>
      </c>
      <c r="K104" s="3">
        <f t="shared" si="10"/>
        <v>91169.63</v>
      </c>
    </row>
    <row r="106" spans="1:11" x14ac:dyDescent="0.3">
      <c r="A106" s="3" t="s">
        <v>535</v>
      </c>
      <c r="B106" s="3">
        <f>B96/B104</f>
        <v>0.78469801555134566</v>
      </c>
      <c r="C106" s="3">
        <f t="shared" ref="C106:K106" si="11">C96/C104</f>
        <v>1.3700207671634497</v>
      </c>
      <c r="D106" s="3">
        <f t="shared" si="11"/>
        <v>1.0568854531135055</v>
      </c>
      <c r="E106" s="3">
        <f t="shared" si="11"/>
        <v>0.85150614261165891</v>
      </c>
      <c r="F106" s="3">
        <f t="shared" si="11"/>
        <v>0.41277110156395475</v>
      </c>
      <c r="G106" s="3">
        <f t="shared" si="11"/>
        <v>1.3086308151387744</v>
      </c>
      <c r="H106" s="3">
        <f t="shared" si="11"/>
        <v>1.3950025794491301</v>
      </c>
      <c r="I106" s="3">
        <f t="shared" si="11"/>
        <v>1.2389607410015899</v>
      </c>
      <c r="J106" s="3">
        <f t="shared" si="11"/>
        <v>2.1139103702734672</v>
      </c>
      <c r="K106" s="3">
        <f t="shared" si="11"/>
        <v>2.1119478493002548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scale="52" fitToHeight="0" orientation="portrait" r:id="rId2"/>
  <ignoredErrors>
    <ignoredError sqref="B101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Front page</vt:lpstr>
      <vt:lpstr>Contents list</vt:lpstr>
      <vt:lpstr>HISTORICAL(FS)</vt:lpstr>
      <vt:lpstr>common size statement</vt:lpstr>
      <vt:lpstr>Ratio Analysis</vt:lpstr>
      <vt:lpstr>Forecasting </vt:lpstr>
      <vt:lpstr>DCF Modelling(WACC)</vt:lpstr>
      <vt:lpstr>return on market</vt:lpstr>
      <vt:lpstr>pre-tax cost of debt</vt:lpstr>
      <vt:lpstr>Beta Regression</vt:lpstr>
      <vt:lpstr>beta comparison</vt:lpstr>
      <vt:lpstr>IG raw Data</vt:lpstr>
      <vt:lpstr>Intrinsic growth</vt:lpstr>
      <vt:lpstr>PV of FCFF</vt:lpstr>
      <vt:lpstr>Football field analysis</vt:lpstr>
      <vt:lpstr>RV Data</vt:lpstr>
      <vt:lpstr>Relative valuation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akanksha singhh</cp:lastModifiedBy>
  <cp:lastPrinted>2026-03-24T13:10:12Z</cp:lastPrinted>
  <dcterms:created xsi:type="dcterms:W3CDTF">2012-08-17T09:55:37Z</dcterms:created>
  <dcterms:modified xsi:type="dcterms:W3CDTF">2026-03-24T13:11:45Z</dcterms:modified>
</cp:coreProperties>
</file>